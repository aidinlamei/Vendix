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1835" activeTab="1"/>
  </bookViews>
  <sheets>
    <sheet name="Temperature" sheetId="1" r:id="rId1"/>
    <sheet name="Living Costs" sheetId="2" r:id="rId2"/>
    <sheet name="Works and Salarys" sheetId="3" r:id="rId3"/>
    <sheet name="Tax" sheetId="5" r:id="rId4"/>
    <sheet name="Society and Population" sheetId="6" r:id="rId5"/>
    <sheet name="Immigrate Ways" sheetId="7" r:id="rId6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6" i="2" l="1"/>
  <c r="J106" i="2"/>
  <c r="I106" i="2"/>
  <c r="H106" i="2"/>
  <c r="G106" i="2"/>
  <c r="F106" i="2"/>
  <c r="E106" i="2"/>
  <c r="D106" i="2"/>
  <c r="C106" i="2"/>
  <c r="K103" i="2"/>
  <c r="J103" i="2"/>
  <c r="I103" i="2"/>
  <c r="H103" i="2"/>
  <c r="G103" i="2"/>
  <c r="F103" i="2"/>
  <c r="E103" i="2"/>
  <c r="D103" i="2"/>
  <c r="C103" i="2"/>
  <c r="K93" i="2"/>
  <c r="K94" i="2" s="1"/>
  <c r="J93" i="2"/>
  <c r="J94" i="2" s="1"/>
  <c r="I93" i="2"/>
  <c r="I94" i="2" s="1"/>
  <c r="H93" i="2"/>
  <c r="H94" i="2" s="1"/>
  <c r="G93" i="2"/>
  <c r="G94" i="2" s="1"/>
  <c r="F93" i="2"/>
  <c r="F94" i="2" s="1"/>
  <c r="E93" i="2"/>
  <c r="E94" i="2" s="1"/>
  <c r="D93" i="2"/>
  <c r="D94" i="2" s="1"/>
  <c r="C93" i="2"/>
  <c r="C94" i="2" s="1"/>
  <c r="K90" i="2"/>
  <c r="K91" i="2" s="1"/>
  <c r="K96" i="2" s="1"/>
  <c r="J90" i="2"/>
  <c r="I90" i="2"/>
  <c r="H90" i="2"/>
  <c r="G90" i="2"/>
  <c r="G97" i="2" s="1"/>
  <c r="F90" i="2"/>
  <c r="E90" i="2"/>
  <c r="D90" i="2"/>
  <c r="C90" i="2"/>
  <c r="C97" i="2" s="1"/>
  <c r="K81" i="2"/>
  <c r="K82" i="2" s="1"/>
  <c r="J81" i="2"/>
  <c r="J82" i="2" s="1"/>
  <c r="I81" i="2"/>
  <c r="I82" i="2" s="1"/>
  <c r="H81" i="2"/>
  <c r="H82" i="2" s="1"/>
  <c r="G81" i="2"/>
  <c r="G82" i="2" s="1"/>
  <c r="F81" i="2"/>
  <c r="F82" i="2" s="1"/>
  <c r="E81" i="2"/>
  <c r="E82" i="2" s="1"/>
  <c r="D81" i="2"/>
  <c r="D82" i="2" s="1"/>
  <c r="K78" i="2"/>
  <c r="K85" i="2" s="1"/>
  <c r="J78" i="2"/>
  <c r="J79" i="2" s="1"/>
  <c r="I78" i="2"/>
  <c r="I79" i="2" s="1"/>
  <c r="I84" i="2" s="1"/>
  <c r="H78" i="2"/>
  <c r="H79" i="2" s="1"/>
  <c r="G78" i="2"/>
  <c r="G85" i="2" s="1"/>
  <c r="F78" i="2"/>
  <c r="F79" i="2" s="1"/>
  <c r="E78" i="2"/>
  <c r="E79" i="2" s="1"/>
  <c r="E84" i="2" s="1"/>
  <c r="D78" i="2"/>
  <c r="D79" i="2" s="1"/>
  <c r="C81" i="2"/>
  <c r="C82" i="2" s="1"/>
  <c r="C78" i="2"/>
  <c r="J11" i="5"/>
  <c r="D97" i="2" l="1"/>
  <c r="H97" i="2"/>
  <c r="C85" i="2"/>
  <c r="E97" i="2"/>
  <c r="I97" i="2"/>
  <c r="F97" i="2"/>
  <c r="J97" i="2"/>
  <c r="H85" i="2"/>
  <c r="C91" i="2"/>
  <c r="C96" i="2" s="1"/>
  <c r="G91" i="2"/>
  <c r="G96" i="2" s="1"/>
  <c r="K97" i="2"/>
  <c r="I85" i="2"/>
  <c r="D91" i="2"/>
  <c r="D96" i="2" s="1"/>
  <c r="H91" i="2"/>
  <c r="H96" i="2" s="1"/>
  <c r="E91" i="2"/>
  <c r="E96" i="2" s="1"/>
  <c r="I91" i="2"/>
  <c r="I96" i="2" s="1"/>
  <c r="D84" i="2"/>
  <c r="H84" i="2"/>
  <c r="F91" i="2"/>
  <c r="F96" i="2" s="1"/>
  <c r="J91" i="2"/>
  <c r="J96" i="2" s="1"/>
  <c r="D85" i="2"/>
  <c r="F84" i="2"/>
  <c r="J84" i="2"/>
  <c r="E85" i="2"/>
  <c r="G79" i="2"/>
  <c r="G84" i="2" s="1"/>
  <c r="K79" i="2"/>
  <c r="K84" i="2" s="1"/>
  <c r="F85" i="2"/>
  <c r="J85" i="2"/>
  <c r="C79" i="2"/>
  <c r="C84" i="2" s="1"/>
  <c r="E8" i="6"/>
  <c r="J54" i="5"/>
  <c r="J53" i="5"/>
  <c r="J52" i="5"/>
  <c r="K25" i="3"/>
  <c r="K17" i="3"/>
  <c r="K9" i="3"/>
  <c r="K73" i="2"/>
  <c r="K74" i="2" s="1"/>
  <c r="K75" i="2" s="1"/>
  <c r="AE22" i="1"/>
  <c r="AD22" i="1"/>
  <c r="AC22" i="1"/>
  <c r="K86" i="2" l="1"/>
  <c r="K87" i="2" s="1"/>
  <c r="K101" i="2" s="1"/>
  <c r="K102" i="2" s="1"/>
  <c r="K98" i="2"/>
  <c r="K99" i="2" s="1"/>
  <c r="K104" i="2" s="1"/>
  <c r="K105" i="2" s="1"/>
  <c r="J26" i="5"/>
  <c r="L25" i="5"/>
  <c r="K25" i="5"/>
  <c r="J25" i="5" s="1"/>
  <c r="J24" i="5"/>
  <c r="L23" i="5"/>
  <c r="K23" i="5"/>
  <c r="J23" i="5" s="1"/>
  <c r="M22" i="5"/>
  <c r="L22" i="5"/>
  <c r="K22" i="5"/>
  <c r="J22" i="5" s="1"/>
  <c r="J21" i="5"/>
  <c r="M20" i="5"/>
  <c r="L20" i="5"/>
  <c r="K20" i="5"/>
  <c r="J20" i="5" s="1"/>
  <c r="L19" i="5"/>
  <c r="K19" i="5"/>
  <c r="J19" i="5" s="1"/>
  <c r="L18" i="5"/>
  <c r="K18" i="5"/>
  <c r="J18" i="5" s="1"/>
  <c r="J17" i="5"/>
  <c r="J15" i="5"/>
  <c r="J16" i="5"/>
  <c r="L15" i="5"/>
  <c r="K15" i="5"/>
  <c r="L14" i="5"/>
  <c r="J14" i="5" s="1"/>
  <c r="K14" i="5"/>
  <c r="J13" i="5"/>
  <c r="L12" i="5"/>
  <c r="J12" i="5" s="1"/>
  <c r="K12" i="5"/>
  <c r="L11" i="5"/>
  <c r="K11" i="5"/>
  <c r="J10" i="5"/>
  <c r="J32" i="5"/>
  <c r="J31" i="5"/>
  <c r="J30" i="5"/>
  <c r="J29" i="5"/>
  <c r="J28" i="5"/>
  <c r="J27" i="5"/>
  <c r="J73" i="2" l="1"/>
  <c r="J74" i="2" s="1"/>
  <c r="I73" i="2"/>
  <c r="I74" i="2" s="1"/>
  <c r="H73" i="2"/>
  <c r="H74" i="2" s="1"/>
  <c r="G73" i="2"/>
  <c r="G74" i="2" s="1"/>
  <c r="F73" i="2"/>
  <c r="F74" i="2" s="1"/>
  <c r="E73" i="2"/>
  <c r="E74" i="2" s="1"/>
  <c r="D73" i="2"/>
  <c r="D74" i="2" s="1"/>
  <c r="C73" i="2"/>
  <c r="C74" i="2" s="1"/>
  <c r="B73" i="2"/>
  <c r="B74" i="2" s="1"/>
  <c r="B75" i="2" s="1"/>
  <c r="C75" i="2" l="1"/>
  <c r="C98" i="2"/>
  <c r="C99" i="2" s="1"/>
  <c r="C104" i="2" s="1"/>
  <c r="C105" i="2" s="1"/>
  <c r="C86" i="2"/>
  <c r="C87" i="2" s="1"/>
  <c r="C101" i="2" s="1"/>
  <c r="C102" i="2" s="1"/>
  <c r="D75" i="2"/>
  <c r="D86" i="2"/>
  <c r="D87" i="2" s="1"/>
  <c r="D101" i="2" s="1"/>
  <c r="D102" i="2" s="1"/>
  <c r="D98" i="2"/>
  <c r="D99" i="2" s="1"/>
  <c r="D104" i="2" s="1"/>
  <c r="D105" i="2" s="1"/>
  <c r="H75" i="2"/>
  <c r="H86" i="2"/>
  <c r="H87" i="2" s="1"/>
  <c r="H101" i="2" s="1"/>
  <c r="H102" i="2" s="1"/>
  <c r="H98" i="2"/>
  <c r="H99" i="2" s="1"/>
  <c r="H104" i="2" s="1"/>
  <c r="H105" i="2" s="1"/>
  <c r="G75" i="2"/>
  <c r="G86" i="2"/>
  <c r="G87" i="2" s="1"/>
  <c r="G101" i="2" s="1"/>
  <c r="G102" i="2" s="1"/>
  <c r="G98" i="2"/>
  <c r="G99" i="2" s="1"/>
  <c r="G104" i="2" s="1"/>
  <c r="G105" i="2" s="1"/>
  <c r="E75" i="2"/>
  <c r="E86" i="2"/>
  <c r="E87" i="2" s="1"/>
  <c r="E101" i="2" s="1"/>
  <c r="E102" i="2" s="1"/>
  <c r="E98" i="2"/>
  <c r="E99" i="2" s="1"/>
  <c r="E104" i="2" s="1"/>
  <c r="E105" i="2" s="1"/>
  <c r="I75" i="2"/>
  <c r="I86" i="2"/>
  <c r="I87" i="2" s="1"/>
  <c r="I101" i="2" s="1"/>
  <c r="I102" i="2" s="1"/>
  <c r="I98" i="2"/>
  <c r="I99" i="2" s="1"/>
  <c r="I104" i="2" s="1"/>
  <c r="I105" i="2" s="1"/>
  <c r="F75" i="2"/>
  <c r="F98" i="2"/>
  <c r="F99" i="2" s="1"/>
  <c r="F104" i="2" s="1"/>
  <c r="F105" i="2" s="1"/>
  <c r="F86" i="2"/>
  <c r="F87" i="2" s="1"/>
  <c r="F101" i="2" s="1"/>
  <c r="F102" i="2" s="1"/>
  <c r="J75" i="2"/>
  <c r="J86" i="2"/>
  <c r="J87" i="2" s="1"/>
  <c r="J101" i="2" s="1"/>
  <c r="J102" i="2" s="1"/>
  <c r="J98" i="2"/>
  <c r="J99" i="2" s="1"/>
  <c r="J104" i="2" s="1"/>
  <c r="J105" i="2" s="1"/>
  <c r="E4" i="6"/>
  <c r="E3" i="6"/>
  <c r="E7" i="6"/>
  <c r="E6" i="6"/>
  <c r="E5" i="6"/>
  <c r="G51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B25" i="3" l="1"/>
  <c r="J9" i="3"/>
  <c r="I9" i="3"/>
  <c r="H9" i="3"/>
  <c r="G9" i="3"/>
  <c r="F9" i="3"/>
  <c r="E9" i="3"/>
  <c r="D9" i="3"/>
  <c r="C9" i="3"/>
  <c r="B9" i="3"/>
  <c r="I17" i="3"/>
  <c r="H17" i="3"/>
  <c r="G17" i="3"/>
  <c r="F17" i="3"/>
  <c r="E17" i="3"/>
  <c r="D17" i="3"/>
  <c r="C17" i="3"/>
  <c r="B17" i="3"/>
  <c r="J17" i="3"/>
  <c r="J25" i="3"/>
  <c r="I25" i="3"/>
  <c r="F25" i="3"/>
  <c r="H25" i="3"/>
  <c r="G25" i="3"/>
  <c r="E25" i="3"/>
  <c r="D25" i="3"/>
  <c r="C25" i="3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B22" i="1"/>
  <c r="C22" i="1"/>
</calcChain>
</file>

<file path=xl/sharedStrings.xml><?xml version="1.0" encoding="utf-8"?>
<sst xmlns="http://schemas.openxmlformats.org/spreadsheetml/2006/main" count="341" uniqueCount="215">
  <si>
    <t>Tehran</t>
  </si>
  <si>
    <t>Iran</t>
  </si>
  <si>
    <t>Canada</t>
  </si>
  <si>
    <t>Norway</t>
  </si>
  <si>
    <t>England</t>
  </si>
  <si>
    <t>switzerland</t>
  </si>
  <si>
    <t>Vancouver</t>
  </si>
  <si>
    <t>Oslo</t>
  </si>
  <si>
    <t>Bergen</t>
  </si>
  <si>
    <t>London</t>
  </si>
  <si>
    <t>Birmingham</t>
  </si>
  <si>
    <t>Zurich</t>
  </si>
  <si>
    <t>Factors</t>
  </si>
  <si>
    <t>Feels like</t>
  </si>
  <si>
    <t>High</t>
  </si>
  <si>
    <t>Low</t>
  </si>
  <si>
    <t>most coldest record</t>
  </si>
  <si>
    <t>most warmest record</t>
  </si>
  <si>
    <t>yearly average per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</si>
  <si>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</si>
  <si>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</si>
  <si>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</si>
  <si>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</si>
  <si>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</si>
  <si>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</si>
  <si>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</si>
  <si>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</si>
  <si>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</si>
  <si>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</si>
  <si>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</si>
  <si>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</si>
  <si>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Rain(days)</t>
  </si>
  <si>
    <t>height from sea level(Meter)</t>
  </si>
  <si>
    <t>Humidity(%)</t>
  </si>
  <si>
    <t>40(60-20)</t>
  </si>
  <si>
    <t>70(80-60)</t>
  </si>
  <si>
    <t>81(86-76)</t>
  </si>
  <si>
    <t>Calgary</t>
  </si>
  <si>
    <t>60(72-48)</t>
  </si>
  <si>
    <t>74(83-60)</t>
  </si>
  <si>
    <t>78(80-75)</t>
  </si>
  <si>
    <t>79(84-76)</t>
  </si>
  <si>
    <t>73(83-64)</t>
  </si>
  <si>
    <t>70(78-65)</t>
  </si>
  <si>
    <t>Pressure(MB)</t>
  </si>
  <si>
    <t>Toronto</t>
  </si>
  <si>
    <t>هزینه خانواده 4 نفره بدون اجاره</t>
  </si>
  <si>
    <t>Meal, Inexpensive Restaurant</t>
  </si>
  <si>
    <t>Meal for 2 People, Mid-range Restaurant, Three-course</t>
  </si>
  <si>
    <t>McMeal at McDonalds (or Equivalent Combo Meal)</t>
  </si>
  <si>
    <t>Domestic Non-Alcoholic Beer (0.5 liter draught)</t>
  </si>
  <si>
    <t>Imported Non-Alcoholic Beer (0.33 liter bottle)</t>
  </si>
  <si>
    <t>Cappuccino (regular)</t>
  </si>
  <si>
    <t>Coke/Pepsi (0.33 liter bottle)</t>
  </si>
  <si>
    <t>Water (0.33 liter bottle)</t>
  </si>
  <si>
    <t>Resturants</t>
  </si>
  <si>
    <t>Markets</t>
  </si>
  <si>
    <t>Milk (regular), (1 liter)</t>
  </si>
  <si>
    <t>Loaf of Fresh White Bread (500g)</t>
  </si>
  <si>
    <t>Rice (white), (1kg)</t>
  </si>
  <si>
    <t>Eggs (regular) (12)</t>
  </si>
  <si>
    <t>Local Cheese (1kg)</t>
  </si>
  <si>
    <t>Chicken Fillets (1kg)</t>
  </si>
  <si>
    <t>Beef Round (1kg) (or Equivalent Back Leg Red Meat)</t>
  </si>
  <si>
    <t>Apples (1kg)</t>
  </si>
  <si>
    <t>Banana (1kg)</t>
  </si>
  <si>
    <t>Oranges (1kg)</t>
  </si>
  <si>
    <t>Tomato (1kg)</t>
  </si>
  <si>
    <t>Potato (1kg)</t>
  </si>
  <si>
    <t>Onion (1kg)</t>
  </si>
  <si>
    <t>Lettuce (1 head)</t>
  </si>
  <si>
    <t>Water (1.5 liter bottle)</t>
  </si>
  <si>
    <t>Bottle of Non-Alcoholic Wine (Mid-Range)</t>
  </si>
  <si>
    <t>Domestic Non-Alcoholic Beer (0.5 liter bottle)</t>
  </si>
  <si>
    <t>Cigarettes 20 Pack (Marlboro)</t>
  </si>
  <si>
    <t>Transportation</t>
  </si>
  <si>
    <t>One-way Ticket (Local Transport)</t>
  </si>
  <si>
    <t>Monthly Pass (Regular Price)</t>
  </si>
  <si>
    <t>Taxi Start (Normal Tariff)</t>
  </si>
  <si>
    <t>Taxi 1km (Normal Tariff)</t>
  </si>
  <si>
    <t>Taxi 1hour Waiting (Normal Tariff)</t>
  </si>
  <si>
    <t>Gasoline (1 liter)</t>
  </si>
  <si>
    <t>Volkswagen Golf 1.4 90 KW Trendline (Or Equivalent New Car)</t>
  </si>
  <si>
    <t>Toyota Corolla Sedan 1.6l 97kW Comfort (Or Equivalent New Car)</t>
  </si>
  <si>
    <t>Utilities (Monthly)</t>
  </si>
  <si>
    <t>Basic (Electricity, Heating, Cooling, Water, Garbage) for 85m2 Apartment</t>
  </si>
  <si>
    <t>1 min. of Prepaid Mobile Tariff Local (No Discounts or Plans)</t>
  </si>
  <si>
    <t>Internet (60 Mbps or More, Unlimited Data, Cable/ADSL)</t>
  </si>
  <si>
    <t>Sports And Leisure</t>
  </si>
  <si>
    <t>Fitness Club, Monthly Fee for 1 Adult</t>
  </si>
  <si>
    <t>Tennis Court Rent (1 Hour on Weekend)</t>
  </si>
  <si>
    <t>Cinema, International Release, 1 Seat</t>
  </si>
  <si>
    <t>Childcare</t>
  </si>
  <si>
    <t>Preschool (or Kindergarten), Full Day, Private, Monthly for 1 Child</t>
  </si>
  <si>
    <t>International Primary School, Yearly for 1 Child</t>
  </si>
  <si>
    <t>Clothing And Shoes</t>
  </si>
  <si>
    <t>1 Pair of Jeans (Levis 501 Or Similar)</t>
  </si>
  <si>
    <t>1 Summer Dress in a Chain Store (Zara, H&amp;M, ...)</t>
  </si>
  <si>
    <t>1 Pair of Nike Running Shoes (Mid-Range)</t>
  </si>
  <si>
    <t>1 Pair of Men Leather Business Shoes</t>
  </si>
  <si>
    <t>Rent Per Month</t>
  </si>
  <si>
    <t>Apartment (1 bedroom) in City Centre</t>
  </si>
  <si>
    <t>Apartment (1 bedroom) Outside of Centre</t>
  </si>
  <si>
    <t>Apartment (3 bedrooms) in City Centre</t>
  </si>
  <si>
    <t>Apartment (3 bedrooms) Outside of Centre</t>
  </si>
  <si>
    <t>Buy Apartment Price</t>
  </si>
  <si>
    <t>Price per Square Meter to Buy Apartment in City Centre</t>
  </si>
  <si>
    <t>Price per Square Meter to Buy Apartment Outside of Centre</t>
  </si>
  <si>
    <t>Salaries And Financing</t>
  </si>
  <si>
    <t>Average Monthly Net Salary (After Tax)</t>
  </si>
  <si>
    <t>Mortgage Interest Rate in Percentages (%), Yearly, for 20 Years Fixed-Rate</t>
  </si>
  <si>
    <t>در 12 ماه گذشته چند نفر این اطلاعات را پر کرده اند</t>
  </si>
  <si>
    <t>هزینه فرد مجرد بدون اجاره</t>
  </si>
  <si>
    <t>678 </t>
  </si>
  <si>
    <t>33 </t>
  </si>
  <si>
    <t>72 </t>
  </si>
  <si>
    <t>230 </t>
  </si>
  <si>
    <t>highest paid (yearly)</t>
  </si>
  <si>
    <t>average (yearly)</t>
  </si>
  <si>
    <t>loset paid (yearly)</t>
  </si>
  <si>
    <t>Software Developer (Full Time)</t>
  </si>
  <si>
    <t>weekly hour work cap for coworkers</t>
  </si>
  <si>
    <t>average per hour</t>
  </si>
  <si>
    <t>daily hour work cap for coworkers (Hour)</t>
  </si>
  <si>
    <t>Childrens PhotoGrapher (Full Time)</t>
  </si>
  <si>
    <t>حس میکنم برای کانادا رو خیلی کف قیمت نوشتم</t>
  </si>
  <si>
    <t>Description</t>
  </si>
  <si>
    <t>average temperature per year</t>
  </si>
  <si>
    <t>Fitness Instructor</t>
  </si>
  <si>
    <t>Country</t>
  </si>
  <si>
    <t>City</t>
  </si>
  <si>
    <t>State</t>
  </si>
  <si>
    <t>Switzerland</t>
  </si>
  <si>
    <t>British Columbia</t>
  </si>
  <si>
    <t>State Tax</t>
  </si>
  <si>
    <t>Over</t>
  </si>
  <si>
    <t>Up to</t>
  </si>
  <si>
    <t>Percentage</t>
  </si>
  <si>
    <t>Country Tax</t>
  </si>
  <si>
    <t>more than</t>
  </si>
  <si>
    <t>Ontario</t>
  </si>
  <si>
    <t>first</t>
  </si>
  <si>
    <t>Alberta</t>
  </si>
  <si>
    <t xml:space="preserve">Federal bracket tax </t>
  </si>
  <si>
    <t>The income tax for all jobs and categories</t>
  </si>
  <si>
    <t>All State of Norway</t>
  </si>
  <si>
    <t>All City of Norway</t>
  </si>
  <si>
    <t>All State of England</t>
  </si>
  <si>
    <t>All City of England</t>
  </si>
  <si>
    <t>General tax in UK</t>
  </si>
  <si>
    <t>All State of Switzerland</t>
  </si>
  <si>
    <t>All City of Switzerland</t>
  </si>
  <si>
    <t>General tax in Switzerland</t>
  </si>
  <si>
    <t>All city of Iran</t>
  </si>
  <si>
    <t>All State of Iran</t>
  </si>
  <si>
    <t>General tax in Iran</t>
  </si>
  <si>
    <t>Immigrant rates in Country</t>
  </si>
  <si>
    <t>Population in 2020</t>
  </si>
  <si>
    <t>Migrants (net) in 2020</t>
  </si>
  <si>
    <t>Percentage of Migrants in 2020</t>
  </si>
  <si>
    <t>Median age in 2020</t>
  </si>
  <si>
    <t>Global Rank in 2020</t>
  </si>
  <si>
    <t>Life Expectancy in 2020</t>
  </si>
  <si>
    <t>Student visa</t>
  </si>
  <si>
    <t>Job Offer Visa</t>
  </si>
  <si>
    <t>Express Entry</t>
  </si>
  <si>
    <t>Family Sponsership</t>
  </si>
  <si>
    <t>Provincial nominees</t>
  </si>
  <si>
    <t>Caregivers</t>
  </si>
  <si>
    <t>Start-up Visa</t>
  </si>
  <si>
    <t>Self-employed</t>
  </si>
  <si>
    <t>Refugees</t>
  </si>
  <si>
    <t>Period Time (Month)</t>
  </si>
  <si>
    <t>UnEmployment Rate</t>
  </si>
  <si>
    <t>Description about UnEmployment rate</t>
  </si>
  <si>
    <t>توی ایران زنان خاندار هم شاغل حساب میشن!</t>
  </si>
  <si>
    <t>World Happiness Index</t>
  </si>
  <si>
    <t>Description World Happiness Index</t>
  </si>
  <si>
    <t>این شاخص شامل خانواده، امید به زندگی، آزادی، جنسیت زدگی ، اعتماد، تولید ناخالص داخلی سرانه می باشد و هرچه امتیاز بالاتر باشد کیفیت بالاتری دارد</t>
  </si>
  <si>
    <t>Buy House</t>
  </si>
  <si>
    <t>Results for us</t>
  </si>
  <si>
    <t>زندگی برای دو نفر بدون اجاره</t>
  </si>
  <si>
    <t>درآمد خالص میانگین یک نفر بعد از مالیات - (منهایی) هزینه های زندگی برای دو نفر با خانه یک خوابه در مرکز شهر</t>
  </si>
  <si>
    <t>زندگی برای دو نفر با اجاره خانه یک خوابه در مرکز شهر</t>
  </si>
  <si>
    <t>Sum All Tax</t>
  </si>
  <si>
    <t>reng tax low to high</t>
  </si>
  <si>
    <t>Denmark</t>
  </si>
  <si>
    <t>Copenhagen</t>
  </si>
  <si>
    <t>79(88-68)</t>
  </si>
  <si>
    <t>General Tax in Denmark</t>
  </si>
  <si>
    <t>All State of Denmark</t>
  </si>
  <si>
    <t>All City of Denmark</t>
  </si>
  <si>
    <t>مالیات دانمارک معتبر نیست از سایت های محاسباتی مالیاتی برای این کشور استفاده کنید</t>
  </si>
  <si>
    <t>Job Seeker</t>
  </si>
  <si>
    <t>Job Offer</t>
  </si>
  <si>
    <t>Skill Worker</t>
  </si>
  <si>
    <t>Technology Transfer</t>
  </si>
  <si>
    <t>آیدین</t>
  </si>
  <si>
    <t>بشارت</t>
  </si>
  <si>
    <t>جمع کل بدترین حالت در ماه بعد از مالیات</t>
  </si>
  <si>
    <t>جمع کل بدترین حالت در سال بعد از مالیات</t>
  </si>
  <si>
    <t>حقوق سالانه</t>
  </si>
  <si>
    <t>حقوق ماهانه</t>
  </si>
  <si>
    <t>جمع باقی مانده خالص بعد از هزینه های جاری برای یک سال</t>
  </si>
  <si>
    <t>بدترین حالت حقوق</t>
  </si>
  <si>
    <t>میانگین حالت حقوق</t>
  </si>
  <si>
    <t>خالص باقی مانده بعد از هزینه های جاری زندگی در هر ماه</t>
  </si>
  <si>
    <t>جمع کل میانگین حالت در ماه بعد از مالیات</t>
  </si>
  <si>
    <t>جمع کل میانگین حالت در سال بعد از مالیات</t>
  </si>
  <si>
    <t>جمع ما</t>
  </si>
  <si>
    <t>خرید خانه</t>
  </si>
  <si>
    <t>بدترین حالت بعد از 4 سال (10000 تا در سال کم شده است برای هزینه های اضافی)</t>
  </si>
  <si>
    <t>میانگین بعد از 4 سال (10000 تا در سال کم شده است برای هزینه های اضافی)</t>
  </si>
  <si>
    <t xml:space="preserve">پس انداز با جمع 4 برابر وام </t>
  </si>
  <si>
    <t>حدود متراژ با میانگین خانه تک خوابه مرکز شهر(متر مکعب)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</si>
</sst>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%"/>
    <numFmt numFmtId="166" formatCode="0.0000%"/>
  </numFmts>
  <fonts count="20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b/>
      <sz val="12"/>
      <color rgb="FF00610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theme="1"/>
      <name val="Segoe UI"/>
      <family val="2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charset val="178"/>
      <scheme val="minor"/>
    </font>
    <font>
      <sz val="11"/>
      <color rgb="FF333333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rgb="FFFA7D00"/>
      <name val="Arial"/>
      <family val="2"/>
      <scheme val="minor"/>
    </font>
    <font>
      <u/>
      <sz val="11"/>
      <color theme="1"/>
      <name val="Arial"/>
      <family val="2"/>
      <scheme val="minor"/>
    </font>
    <font>
      <sz val="12"/>
      <color rgb="FF444444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F9F9F9"/>
        <bgColor indexed="64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00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16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13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5" fillId="11" borderId="8" applyNumberFormat="0" applyAlignment="0" applyProtection="0"/>
    <xf numFmtId="0" fontId="16" fillId="0" borderId="9" applyNumberFormat="0" applyFill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1" fillId="15" borderId="0" applyNumberFormat="0" applyBorder="0" applyAlignment="0" applyProtection="0"/>
    <xf numFmtId="0" fontId="3" fillId="17" borderId="0" applyNumberFormat="0" applyBorder="0" applyAlignment="0" applyProtection="0"/>
  </cellStyleXfs>
  <cellXfs count="18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6" fillId="4" borderId="1" xfId="3" applyFont="1" applyBorder="1" applyAlignment="1">
      <alignment horizontal="center"/>
    </xf>
    <xf numFmtId="0" fontId="0" fillId="3" borderId="1" xfId="2" applyFont="1" applyBorder="1" applyAlignment="1">
      <alignment horizontal="center" vertical="center"/>
    </xf>
    <xf numFmtId="0" fontId="4" fillId="2" borderId="3" xfId="1" applyFont="1" applyBorder="1" applyAlignment="1">
      <alignment horizontal="center" vertical="center"/>
    </xf>
    <xf numFmtId="0" fontId="6" fillId="4" borderId="3" xfId="3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righ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4" fontId="10" fillId="7" borderId="1" xfId="0" applyNumberFormat="1" applyFont="1" applyFill="1" applyBorder="1" applyAlignment="1">
      <alignment horizontal="center" vertical="center" wrapText="1"/>
    </xf>
    <xf numFmtId="0" fontId="3" fillId="6" borderId="1" xfId="5" applyBorder="1" applyAlignment="1">
      <alignment horizontal="right" vertical="center" wrapText="1"/>
    </xf>
    <xf numFmtId="0" fontId="3" fillId="6" borderId="0" xfId="5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3" fillId="6" borderId="1" xfId="5" applyBorder="1" applyAlignment="1">
      <alignment horizontal="center" vertical="center"/>
    </xf>
    <xf numFmtId="0" fontId="3" fillId="6" borderId="0" xfId="5"/>
    <xf numFmtId="0" fontId="5" fillId="2" borderId="1" xfId="1" applyFont="1" applyBorder="1" applyAlignment="1">
      <alignment horizontal="center" vertical="center"/>
    </xf>
    <xf numFmtId="0" fontId="6" fillId="4" borderId="1" xfId="3" applyFont="1" applyBorder="1" applyAlignment="1">
      <alignment horizontal="center" vertical="center"/>
    </xf>
    <xf numFmtId="0" fontId="7" fillId="5" borderId="1" xfId="4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1" fillId="3" borderId="1" xfId="2" applyBorder="1" applyAlignment="1">
      <alignment horizontal="center"/>
    </xf>
    <xf numFmtId="1" fontId="1" fillId="3" borderId="1" xfId="2" applyNumberFormat="1" applyBorder="1" applyAlignment="1">
      <alignment horizontal="center"/>
    </xf>
    <xf numFmtId="0" fontId="1" fillId="3" borderId="0" xfId="2" applyAlignment="1">
      <alignment horizontal="center"/>
    </xf>
    <xf numFmtId="0" fontId="1" fillId="3" borderId="1" xfId="2" applyBorder="1" applyAlignment="1">
      <alignment horizontal="center" vertical="center"/>
    </xf>
    <xf numFmtId="0" fontId="3" fillId="6" borderId="1" xfId="5" applyBorder="1"/>
    <xf numFmtId="0" fontId="0" fillId="0" borderId="1" xfId="0" applyBorder="1"/>
    <xf numFmtId="3" fontId="12" fillId="0" borderId="1" xfId="0" applyNumberFormat="1" applyFont="1" applyBorder="1"/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0" fillId="0" borderId="1" xfId="0" applyBorder="1" applyAlignment="1"/>
    <xf numFmtId="0" fontId="13" fillId="8" borderId="1" xfId="6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6" fillId="4" borderId="1" xfId="3" applyFont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0" fontId="5" fillId="12" borderId="1" xfId="11" applyFont="1" applyBorder="1" applyAlignment="1">
      <alignment horizontal="center" vertical="center" wrapText="1"/>
    </xf>
    <xf numFmtId="0" fontId="5" fillId="12" borderId="3" xfId="11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6" fillId="14" borderId="1" xfId="13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6" fillId="14" borderId="5" xfId="13" applyFon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7" fillId="9" borderId="1" xfId="7" applyFont="1" applyBorder="1" applyAlignment="1">
      <alignment horizontal="center" vertical="center"/>
    </xf>
    <xf numFmtId="0" fontId="6" fillId="13" borderId="1" xfId="12" applyFont="1" applyBorder="1" applyAlignment="1">
      <alignment horizontal="center" vertical="center"/>
    </xf>
    <xf numFmtId="0" fontId="6" fillId="13" borderId="0" xfId="12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15" borderId="1" xfId="14" applyFont="1" applyBorder="1" applyAlignment="1">
      <alignment horizontal="center"/>
    </xf>
    <xf numFmtId="0" fontId="1" fillId="15" borderId="1" xfId="14" applyFont="1" applyBorder="1" applyAlignment="1">
      <alignment horizontal="center" vertical="center"/>
    </xf>
    <xf numFmtId="0" fontId="9" fillId="8" borderId="1" xfId="6" applyFont="1" applyBorder="1" applyAlignment="1">
      <alignment horizontal="center"/>
    </xf>
    <xf numFmtId="0" fontId="9" fillId="8" borderId="1" xfId="6" applyFont="1" applyBorder="1" applyAlignment="1">
      <alignment horizontal="center" vertical="center"/>
    </xf>
    <xf numFmtId="0" fontId="6" fillId="15" borderId="1" xfId="14" applyFont="1" applyBorder="1" applyAlignment="1">
      <alignment horizontal="center"/>
    </xf>
    <xf numFmtId="4" fontId="9" fillId="8" borderId="1" xfId="6" applyNumberFormat="1" applyFont="1" applyBorder="1" applyAlignment="1">
      <alignment horizontal="center" vertical="center"/>
    </xf>
    <xf numFmtId="0" fontId="5" fillId="2" borderId="2" xfId="1" applyFont="1" applyBorder="1" applyAlignment="1">
      <alignment horizontal="center" vertical="center"/>
    </xf>
    <xf numFmtId="0" fontId="6" fillId="4" borderId="2" xfId="3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6" fillId="4" borderId="1" xfId="3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6" fillId="4" borderId="1" xfId="3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" fillId="9" borderId="3" xfId="7" applyFont="1" applyBorder="1" applyAlignment="1">
      <alignment horizontal="center" vertical="center"/>
    </xf>
    <xf numFmtId="0" fontId="6" fillId="13" borderId="3" xfId="12" applyFont="1" applyBorder="1" applyAlignment="1">
      <alignment horizontal="center" vertical="center"/>
    </xf>
    <xf numFmtId="0" fontId="5" fillId="2" borderId="4" xfId="1" applyFont="1" applyBorder="1" applyAlignment="1">
      <alignment vertical="center"/>
    </xf>
    <xf numFmtId="0" fontId="5" fillId="2" borderId="3" xfId="1" applyFont="1" applyBorder="1" applyAlignment="1">
      <alignment vertical="center"/>
    </xf>
    <xf numFmtId="0" fontId="6" fillId="4" borderId="4" xfId="3" applyFont="1" applyBorder="1" applyAlignment="1">
      <alignment vertical="center"/>
    </xf>
    <xf numFmtId="0" fontId="6" fillId="4" borderId="3" xfId="3" applyFont="1" applyBorder="1" applyAlignment="1">
      <alignment vertical="center"/>
    </xf>
    <xf numFmtId="0" fontId="3" fillId="6" borderId="2" xfId="5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0" fontId="1" fillId="15" borderId="2" xfId="14" applyFont="1" applyBorder="1" applyAlignment="1">
      <alignment horizontal="center"/>
    </xf>
    <xf numFmtId="0" fontId="9" fillId="8" borderId="2" xfId="6" applyFont="1" applyBorder="1" applyAlignment="1">
      <alignment horizontal="center" vertical="center"/>
    </xf>
    <xf numFmtId="0" fontId="9" fillId="8" borderId="2" xfId="6" applyFont="1" applyBorder="1" applyAlignment="1">
      <alignment horizontal="center"/>
    </xf>
    <xf numFmtId="0" fontId="1" fillId="15" borderId="3" xfId="14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19" fillId="0" borderId="0" xfId="0" applyFont="1"/>
    <xf numFmtId="0" fontId="0" fillId="0" borderId="2" xfId="0" applyBorder="1"/>
    <xf numFmtId="0" fontId="0" fillId="0" borderId="7" xfId="0" applyBorder="1"/>
    <xf numFmtId="0" fontId="0" fillId="16" borderId="1" xfId="0" applyFill="1" applyBorder="1"/>
    <xf numFmtId="0" fontId="0" fillId="0" borderId="0" xfId="0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2" borderId="2" xfId="1" applyFont="1" applyBorder="1" applyAlignment="1">
      <alignment horizontal="center" vertical="center"/>
    </xf>
    <xf numFmtId="0" fontId="5" fillId="2" borderId="4" xfId="1" applyFont="1" applyBorder="1" applyAlignment="1">
      <alignment horizontal="center" vertical="center"/>
    </xf>
    <xf numFmtId="0" fontId="5" fillId="2" borderId="3" xfId="1" applyFont="1" applyBorder="1" applyAlignment="1">
      <alignment horizontal="center" vertical="center"/>
    </xf>
    <xf numFmtId="0" fontId="6" fillId="4" borderId="2" xfId="3" applyFont="1" applyBorder="1" applyAlignment="1">
      <alignment horizontal="center" vertical="center"/>
    </xf>
    <xf numFmtId="0" fontId="6" fillId="4" borderId="4" xfId="3" applyFont="1" applyBorder="1" applyAlignment="1">
      <alignment horizontal="center" vertical="center"/>
    </xf>
    <xf numFmtId="0" fontId="6" fillId="4" borderId="3" xfId="3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2" borderId="1" xfId="1" applyFont="1" applyBorder="1" applyAlignment="1">
      <alignment horizontal="center" vertical="center"/>
    </xf>
    <xf numFmtId="0" fontId="6" fillId="4" borderId="1" xfId="3" applyFont="1" applyBorder="1" applyAlignment="1">
      <alignment horizontal="center" vertical="center"/>
    </xf>
    <xf numFmtId="0" fontId="7" fillId="5" borderId="1" xfId="4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" fillId="2" borderId="5" xfId="1" applyFont="1" applyBorder="1" applyAlignment="1">
      <alignment horizontal="center" vertical="center"/>
    </xf>
    <xf numFmtId="0" fontId="5" fillId="2" borderId="6" xfId="1" applyFont="1" applyBorder="1" applyAlignment="1">
      <alignment horizontal="center" vertical="center"/>
    </xf>
    <xf numFmtId="0" fontId="5" fillId="2" borderId="7" xfId="1" applyFont="1" applyBorder="1" applyAlignment="1">
      <alignment horizontal="center" vertical="center"/>
    </xf>
    <xf numFmtId="0" fontId="15" fillId="11" borderId="8" xfId="9" applyAlignment="1">
      <alignment horizontal="center" vertical="center"/>
    </xf>
    <xf numFmtId="0" fontId="6" fillId="9" borderId="5" xfId="7" applyFont="1" applyBorder="1" applyAlignment="1">
      <alignment horizontal="center" vertical="center" wrapText="1"/>
    </xf>
    <xf numFmtId="0" fontId="6" fillId="9" borderId="6" xfId="7" applyFont="1" applyBorder="1" applyAlignment="1">
      <alignment horizontal="center" vertical="center" wrapText="1"/>
    </xf>
    <xf numFmtId="0" fontId="6" fillId="9" borderId="7" xfId="7" applyFont="1" applyBorder="1" applyAlignment="1">
      <alignment horizontal="center" vertical="center" wrapText="1"/>
    </xf>
    <xf numFmtId="0" fontId="6" fillId="4" borderId="5" xfId="3" applyFont="1" applyBorder="1" applyAlignment="1">
      <alignment horizontal="center" vertical="center" wrapText="1"/>
    </xf>
    <xf numFmtId="0" fontId="6" fillId="4" borderId="6" xfId="3" applyFont="1" applyBorder="1" applyAlignment="1">
      <alignment horizontal="center" vertical="center" wrapText="1"/>
    </xf>
    <xf numFmtId="0" fontId="6" fillId="4" borderId="7" xfId="3" applyFont="1" applyBorder="1" applyAlignment="1">
      <alignment horizontal="center" vertical="center" wrapText="1"/>
    </xf>
    <xf numFmtId="0" fontId="6" fillId="9" borderId="1" xfId="7" applyFont="1" applyBorder="1" applyAlignment="1">
      <alignment horizontal="center" vertical="center" wrapText="1"/>
    </xf>
    <xf numFmtId="0" fontId="7" fillId="5" borderId="1" xfId="4" applyFont="1" applyBorder="1" applyAlignment="1">
      <alignment horizontal="center" vertical="center" wrapText="1"/>
    </xf>
    <xf numFmtId="0" fontId="7" fillId="10" borderId="1" xfId="8" applyFont="1" applyBorder="1" applyAlignment="1">
      <alignment horizontal="center"/>
    </xf>
    <xf numFmtId="0" fontId="6" fillId="4" borderId="1" xfId="3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5" fillId="11" borderId="10" xfId="9" applyBorder="1" applyAlignment="1">
      <alignment horizontal="center" vertical="center"/>
    </xf>
    <xf numFmtId="0" fontId="17" fillId="0" borderId="1" xfId="10" applyFont="1" applyBorder="1" applyAlignment="1">
      <alignment horizontal="center" vertical="center"/>
    </xf>
    <xf numFmtId="0" fontId="7" fillId="10" borderId="5" xfId="8" applyFont="1" applyBorder="1" applyAlignment="1">
      <alignment horizontal="center" vertical="center"/>
    </xf>
    <xf numFmtId="0" fontId="7" fillId="10" borderId="7" xfId="8" applyFont="1" applyBorder="1" applyAlignment="1">
      <alignment horizontal="center" vertical="center"/>
    </xf>
    <xf numFmtId="0" fontId="7" fillId="10" borderId="11" xfId="8" applyFont="1" applyBorder="1" applyAlignment="1">
      <alignment horizontal="center" vertical="center"/>
    </xf>
    <xf numFmtId="0" fontId="7" fillId="10" borderId="12" xfId="8" applyFont="1" applyBorder="1" applyAlignment="1">
      <alignment horizontal="center" vertical="center"/>
    </xf>
    <xf numFmtId="0" fontId="7" fillId="10" borderId="13" xfId="8" applyFont="1" applyBorder="1" applyAlignment="1">
      <alignment horizontal="center" vertical="center"/>
    </xf>
    <xf numFmtId="0" fontId="7" fillId="10" borderId="14" xfId="8" applyFont="1" applyBorder="1" applyAlignment="1">
      <alignment horizontal="center" vertical="center"/>
    </xf>
    <xf numFmtId="0" fontId="7" fillId="10" borderId="15" xfId="8" applyFont="1" applyBorder="1" applyAlignment="1">
      <alignment horizontal="center" vertical="center"/>
    </xf>
    <xf numFmtId="0" fontId="7" fillId="10" borderId="16" xfId="8" applyFont="1" applyBorder="1" applyAlignment="1">
      <alignment horizontal="center" vertical="center"/>
    </xf>
    <xf numFmtId="0" fontId="5" fillId="12" borderId="1" xfId="11" applyFont="1" applyBorder="1" applyAlignment="1">
      <alignment horizontal="center" vertical="center" wrapText="1"/>
    </xf>
    <xf numFmtId="0" fontId="5" fillId="12" borderId="5" xfId="11" applyFont="1" applyBorder="1" applyAlignment="1">
      <alignment horizontal="center" vertical="center" wrapText="1"/>
    </xf>
    <xf numFmtId="0" fontId="5" fillId="12" borderId="7" xfId="1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9" borderId="2" xfId="7" applyFont="1" applyBorder="1" applyAlignment="1">
      <alignment horizontal="center" vertical="center"/>
    </xf>
    <xf numFmtId="0" fontId="7" fillId="9" borderId="4" xfId="7" applyFont="1" applyBorder="1" applyAlignment="1">
      <alignment horizontal="center" vertical="center"/>
    </xf>
    <xf numFmtId="0" fontId="7" fillId="9" borderId="3" xfId="7" applyFont="1" applyBorder="1" applyAlignment="1">
      <alignment horizontal="center" vertical="center"/>
    </xf>
    <xf numFmtId="0" fontId="7" fillId="9" borderId="5" xfId="7" applyFont="1" applyBorder="1" applyAlignment="1">
      <alignment horizontal="center" vertical="center"/>
    </xf>
    <xf numFmtId="0" fontId="7" fillId="9" borderId="6" xfId="7" applyFont="1" applyBorder="1" applyAlignment="1">
      <alignment horizontal="center" vertical="center"/>
    </xf>
    <xf numFmtId="0" fontId="7" fillId="9" borderId="7" xfId="7" applyFont="1" applyBorder="1" applyAlignment="1">
      <alignment horizontal="center" vertical="center"/>
    </xf>
    <xf numFmtId="0" fontId="6" fillId="13" borderId="2" xfId="12" applyFont="1" applyBorder="1" applyAlignment="1">
      <alignment horizontal="center" vertical="center"/>
    </xf>
    <xf numFmtId="0" fontId="6" fillId="13" borderId="3" xfId="12" applyFont="1" applyBorder="1" applyAlignment="1">
      <alignment horizontal="center" vertical="center"/>
    </xf>
    <xf numFmtId="0" fontId="0" fillId="18" borderId="1" xfId="0" applyFill="1" applyBorder="1"/>
    <xf numFmtId="0" fontId="0" fillId="18" borderId="1" xfId="0" applyFont="1" applyFill="1" applyBorder="1" applyAlignment="1">
      <alignment horizontal="center" vertical="center"/>
    </xf>
    <xf numFmtId="2" fontId="9" fillId="8" borderId="1" xfId="6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1" fontId="9" fillId="8" borderId="1" xfId="6" applyNumberFormat="1" applyFont="1" applyBorder="1" applyAlignment="1">
      <alignment horizontal="center"/>
    </xf>
    <xf numFmtId="0" fontId="7" fillId="6" borderId="1" xfId="5" applyFont="1" applyBorder="1" applyAlignment="1">
      <alignment horizontal="center" vertical="center"/>
    </xf>
    <xf numFmtId="0" fontId="18" fillId="8" borderId="1" xfId="6" applyFont="1" applyBorder="1" applyAlignment="1">
      <alignment horizontal="center" vertical="center"/>
    </xf>
    <xf numFmtId="0" fontId="3" fillId="17" borderId="8" xfId="15" applyBorder="1" applyAlignment="1">
      <alignment horizontal="center"/>
    </xf>
    <xf numFmtId="0" fontId="3" fillId="17" borderId="8" xfId="15" applyBorder="1" applyAlignment="1">
      <alignment horizontal="center" vertical="center"/>
    </xf>
    <xf numFmtId="0" fontId="3" fillId="17" borderId="1" xfId="15" applyBorder="1" applyAlignment="1">
      <alignment horizontal="center"/>
    </xf>
    <xf numFmtId="0" fontId="3" fillId="17" borderId="1" xfId="15" applyBorder="1" applyAlignment="1">
      <alignment horizontal="center" vertical="center"/>
    </xf>
    <xf numFmtId="2" fontId="3" fillId="17" borderId="1" xfId="15" applyNumberFormat="1" applyBorder="1" applyAlignment="1">
      <alignment horizontal="center"/>
    </xf>
    <xf numFmtId="0" fontId="3" fillId="17" borderId="0" xfId="15" applyAlignment="1">
      <alignment horizontal="center"/>
    </xf>
    <xf numFmtId="0" fontId="7" fillId="17" borderId="8" xfId="15" applyFont="1" applyBorder="1" applyAlignment="1">
      <alignment horizontal="center"/>
    </xf>
    <xf numFmtId="0" fontId="7" fillId="17" borderId="1" xfId="15" applyFont="1" applyBorder="1" applyAlignment="1">
      <alignment horizontal="center"/>
    </xf>
    <xf numFmtId="0" fontId="3" fillId="17" borderId="19" xfId="15" applyBorder="1" applyAlignment="1">
      <alignment horizontal="center"/>
    </xf>
    <xf numFmtId="0" fontId="0" fillId="0" borderId="2" xfId="0" applyBorder="1" applyAlignment="1">
      <alignment horizontal="center"/>
    </xf>
    <xf numFmtId="0" fontId="3" fillId="17" borderId="20" xfId="15" applyBorder="1" applyAlignment="1">
      <alignment horizontal="center"/>
    </xf>
    <xf numFmtId="2" fontId="9" fillId="8" borderId="2" xfId="6" applyNumberFormat="1" applyFont="1" applyBorder="1" applyAlignment="1">
      <alignment horizontal="center"/>
    </xf>
    <xf numFmtId="2" fontId="3" fillId="17" borderId="2" xfId="15" applyNumberFormat="1" applyBorder="1" applyAlignment="1">
      <alignment horizontal="center"/>
    </xf>
    <xf numFmtId="1" fontId="9" fillId="8" borderId="2" xfId="6" applyNumberFormat="1" applyFont="1" applyBorder="1" applyAlignment="1">
      <alignment horizontal="center"/>
    </xf>
    <xf numFmtId="0" fontId="3" fillId="17" borderId="2" xfId="15" applyBorder="1" applyAlignment="1">
      <alignment horizontal="center"/>
    </xf>
  </cellXfs>
  <cellStyles count="16">
    <cellStyle name="40% - Accent1" xfId="2" builtinId="31"/>
    <cellStyle name="40% - Accent2" xfId="3" builtinId="35"/>
    <cellStyle name="40% - Accent4" xfId="14" builtinId="43"/>
    <cellStyle name="60% - Accent2" xfId="15" builtinId="36"/>
    <cellStyle name="60% - Accent4" xfId="12" builtinId="44"/>
    <cellStyle name="60% - Accent6" xfId="13" builtinId="52"/>
    <cellStyle name="Accent1" xfId="7" builtinId="29"/>
    <cellStyle name="Accent2" xfId="8" builtinId="33"/>
    <cellStyle name="Accent3" xfId="4" builtinId="37"/>
    <cellStyle name="Accent4" xfId="11" builtinId="41"/>
    <cellStyle name="Accent5" xfId="5" builtinId="45"/>
    <cellStyle name="Calculation" xfId="9" builtinId="22"/>
    <cellStyle name="Good" xfId="1" builtinId="26"/>
    <cellStyle name="Linked Cell" xfId="10" builtinId="24"/>
    <cellStyle name="Neutral" xfId="6" builtinId="28"/>
    <cellStyle name="Normal" xfId="0" builtinId="0"/>
  </cellStyles>
  <dxfs count="0"/>
  <tableStyles count="0" defaultTableStyle="TableStyleMedium2" defaultPivotStyle="PivotStyleLight16"/>
  <colors>
    <mruColors>
      <color rgb="FF00FF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umbeo.com/common/form.jsp?city=Bergen&amp;country=Norway&amp;returnUrl=https://www.numbeo.com/cost-of-living/in/Bergen?displayCurrency%3DUSD&amp;current=9&amp;section=true&amp;tracking=editHref" TargetMode="External"/><Relationship Id="rId1" Type="http://schemas.openxmlformats.org/officeDocument/2006/relationships/hyperlink" Target="https://www.numbeo.com/common/form.jsp?city=Bergen&amp;country=Norway&amp;returnUrl=https://www.numbeo.com/cost-of-living/in/Bergen?displayCurrency%3DUSD&amp;current=8&amp;section=true&amp;tracking=editHre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63</xdr:row>
      <xdr:rowOff>0</xdr:rowOff>
    </xdr:from>
    <xdr:to>
      <xdr:col>6</xdr:col>
      <xdr:colOff>304800</xdr:colOff>
      <xdr:row>64</xdr:row>
      <xdr:rowOff>123825</xdr:rowOff>
    </xdr:to>
    <xdr:sp macro="" textlink="">
      <xdr:nvSpPr>
        <xdr:cNvPr id="2" name="AutoShape 1" descr="https://www.numbeo.com/images/categories/outline-apartment.sv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1235842400" y="7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304800</xdr:colOff>
      <xdr:row>64</xdr:row>
      <xdr:rowOff>123825</xdr:rowOff>
    </xdr:to>
    <xdr:sp macro="" textlink="">
      <xdr:nvSpPr>
        <xdr:cNvPr id="3" name="AutoShape 2" descr="https://www.numbeo.com/images/baseline-edit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1235842400" y="7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304800</xdr:colOff>
      <xdr:row>67</xdr:row>
      <xdr:rowOff>123825</xdr:rowOff>
    </xdr:to>
    <xdr:sp macro="" textlink="">
      <xdr:nvSpPr>
        <xdr:cNvPr id="4" name="AutoShape 3" descr="https://www.numbeo.com/images/categories/wallet-solid.sv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1235842400" y="12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66</xdr:row>
      <xdr:rowOff>0</xdr:rowOff>
    </xdr:from>
    <xdr:to>
      <xdr:col>6</xdr:col>
      <xdr:colOff>304800</xdr:colOff>
      <xdr:row>67</xdr:row>
      <xdr:rowOff>123825</xdr:rowOff>
    </xdr:to>
    <xdr:sp macro="" textlink="">
      <xdr:nvSpPr>
        <xdr:cNvPr id="5" name="AutoShape 4" descr="https://www.numbeo.com/images/baseline-edit.svg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1235842400" y="12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2"/>
  <sheetViews>
    <sheetView rightToLeft="1" topLeftCell="G1" workbookViewId="0">
      <selection activeCell="Z9" sqref="Z1:AB1048576"/>
    </sheetView>
  </sheetViews>
  <sheetFormatPr defaultColWidth="9" defaultRowHeight="14.25" x14ac:dyDescent="0.2"/>
  <cols>
    <col min="1" max="1" width="36.375" style="1" customWidth="1"/>
    <col min="2" max="2" width="10.625" style="1" customWidth="1"/>
    <col min="3" max="3" width="6.25" style="1" customWidth="1"/>
    <col min="4" max="4" width="6.375" style="1" customWidth="1"/>
    <col min="5" max="5" width="10.875" style="2" customWidth="1"/>
    <col min="6" max="6" width="7" style="2" customWidth="1"/>
    <col min="7" max="7" width="8.375" style="2" customWidth="1"/>
    <col min="8" max="8" width="9.75" style="2" customWidth="1"/>
    <col min="9" max="10" width="7" style="2" customWidth="1"/>
    <col min="11" max="11" width="11" style="2" customWidth="1"/>
    <col min="12" max="12" width="7.375" style="2" customWidth="1"/>
    <col min="13" max="13" width="7.25" style="2" customWidth="1"/>
    <col min="14" max="14" width="10.375" style="2" customWidth="1"/>
    <col min="15" max="16" width="7.125" style="2" customWidth="1"/>
    <col min="17" max="17" width="10.25" style="2" customWidth="1"/>
    <col min="18" max="18" width="7" style="2" customWidth="1"/>
    <col min="19" max="19" width="7.875" style="2" customWidth="1"/>
    <col min="20" max="20" width="9.75" style="2" customWidth="1"/>
    <col min="21" max="21" width="8.25" style="2" customWidth="1"/>
    <col min="22" max="22" width="7.875" style="2" customWidth="1"/>
    <col min="23" max="23" width="9.875" style="2" customWidth="1"/>
    <col min="24" max="24" width="6.25" style="2" customWidth="1"/>
    <col min="25" max="25" width="7" style="2" customWidth="1"/>
    <col min="26" max="26" width="10.125" style="2" customWidth="1"/>
    <col min="27" max="27" width="7.25" style="2" customWidth="1"/>
    <col min="28" max="28" width="7.875" style="2" customWidth="1"/>
    <col min="29" max="29" width="10.125" style="2" customWidth="1"/>
    <col min="30" max="30" width="7.25" style="2" customWidth="1"/>
    <col min="31" max="31" width="7.875" style="2" customWidth="1"/>
    <col min="32" max="16384" width="9" style="1"/>
  </cols>
  <sheetData>
    <row r="1" spans="1:31" s="3" customFormat="1" ht="15.75" customHeight="1" x14ac:dyDescent="0.2">
      <c r="A1" s="115" t="s">
        <v>12</v>
      </c>
      <c r="B1" s="113" t="s">
        <v>1</v>
      </c>
      <c r="C1" s="113"/>
      <c r="D1" s="113"/>
      <c r="E1" s="102" t="s">
        <v>2</v>
      </c>
      <c r="F1" s="103"/>
      <c r="G1" s="103"/>
      <c r="H1" s="103"/>
      <c r="I1" s="103"/>
      <c r="J1" s="103"/>
      <c r="K1" s="103"/>
      <c r="L1" s="103"/>
      <c r="M1" s="103"/>
      <c r="N1" s="102" t="s">
        <v>3</v>
      </c>
      <c r="O1" s="103"/>
      <c r="P1" s="103"/>
      <c r="Q1" s="103"/>
      <c r="R1" s="103"/>
      <c r="S1" s="104"/>
      <c r="T1" s="102" t="s">
        <v>4</v>
      </c>
      <c r="U1" s="103"/>
      <c r="V1" s="103"/>
      <c r="W1" s="103"/>
      <c r="X1" s="103"/>
      <c r="Y1" s="104"/>
      <c r="Z1" s="102" t="s">
        <v>132</v>
      </c>
      <c r="AA1" s="103"/>
      <c r="AB1" s="104"/>
      <c r="AC1" s="102" t="s">
        <v>186</v>
      </c>
      <c r="AD1" s="103"/>
      <c r="AE1" s="104"/>
    </row>
    <row r="2" spans="1:31" s="4" customFormat="1" ht="15" customHeight="1" x14ac:dyDescent="0.25">
      <c r="A2" s="115"/>
      <c r="B2" s="114" t="s">
        <v>0</v>
      </c>
      <c r="C2" s="114"/>
      <c r="D2" s="114"/>
      <c r="E2" s="105" t="s">
        <v>6</v>
      </c>
      <c r="F2" s="106"/>
      <c r="G2" s="106"/>
      <c r="H2" s="105" t="s">
        <v>45</v>
      </c>
      <c r="I2" s="106"/>
      <c r="J2" s="106"/>
      <c r="K2" s="105" t="s">
        <v>37</v>
      </c>
      <c r="L2" s="106"/>
      <c r="M2" s="106"/>
      <c r="N2" s="105" t="s">
        <v>7</v>
      </c>
      <c r="O2" s="106"/>
      <c r="P2" s="106"/>
      <c r="Q2" s="105" t="s">
        <v>8</v>
      </c>
      <c r="R2" s="106"/>
      <c r="S2" s="107"/>
      <c r="T2" s="105" t="s">
        <v>9</v>
      </c>
      <c r="U2" s="106"/>
      <c r="V2" s="107"/>
      <c r="W2" s="105" t="s">
        <v>10</v>
      </c>
      <c r="X2" s="106"/>
      <c r="Y2" s="107"/>
      <c r="Z2" s="105" t="s">
        <v>11</v>
      </c>
      <c r="AA2" s="106"/>
      <c r="AB2" s="107"/>
      <c r="AC2" s="105" t="s">
        <v>187</v>
      </c>
      <c r="AD2" s="106"/>
      <c r="AE2" s="107"/>
    </row>
    <row r="3" spans="1:31" x14ac:dyDescent="0.2">
      <c r="A3" s="12" t="s">
        <v>32</v>
      </c>
      <c r="B3" s="111">
        <v>1200</v>
      </c>
      <c r="C3" s="111"/>
      <c r="D3" s="111"/>
      <c r="E3" s="99">
        <v>2</v>
      </c>
      <c r="F3" s="100"/>
      <c r="G3" s="100"/>
      <c r="H3" s="99">
        <v>76</v>
      </c>
      <c r="I3" s="100"/>
      <c r="J3" s="100"/>
      <c r="K3" s="99">
        <v>1045</v>
      </c>
      <c r="L3" s="100"/>
      <c r="M3" s="100"/>
      <c r="N3" s="99">
        <v>23</v>
      </c>
      <c r="O3" s="100"/>
      <c r="P3" s="100"/>
      <c r="Q3" s="99">
        <v>0</v>
      </c>
      <c r="R3" s="100"/>
      <c r="S3" s="101"/>
      <c r="T3" s="99">
        <v>11</v>
      </c>
      <c r="U3" s="100"/>
      <c r="V3" s="101"/>
      <c r="W3" s="99">
        <v>140</v>
      </c>
      <c r="X3" s="100"/>
      <c r="Y3" s="101"/>
      <c r="Z3" s="99">
        <v>408</v>
      </c>
      <c r="AA3" s="100"/>
      <c r="AB3" s="101"/>
      <c r="AC3" s="99">
        <v>40</v>
      </c>
      <c r="AD3" s="100"/>
      <c r="AE3" s="101"/>
    </row>
    <row r="4" spans="1:31" x14ac:dyDescent="0.2">
      <c r="A4" s="8" t="s">
        <v>13</v>
      </c>
      <c r="B4" s="111"/>
      <c r="C4" s="111"/>
      <c r="D4" s="111"/>
      <c r="E4" s="99"/>
      <c r="F4" s="100"/>
      <c r="G4" s="100"/>
      <c r="H4" s="99"/>
      <c r="I4" s="100"/>
      <c r="J4" s="100"/>
      <c r="K4" s="99"/>
      <c r="L4" s="100"/>
      <c r="M4" s="100"/>
      <c r="N4" s="99"/>
      <c r="O4" s="100"/>
      <c r="P4" s="100"/>
      <c r="Q4" s="99"/>
      <c r="R4" s="100"/>
      <c r="S4" s="101"/>
      <c r="T4" s="99"/>
      <c r="U4" s="100"/>
      <c r="V4" s="101"/>
      <c r="W4" s="99"/>
      <c r="X4" s="100"/>
      <c r="Y4" s="101"/>
      <c r="Z4" s="99"/>
      <c r="AA4" s="100"/>
      <c r="AB4" s="101"/>
      <c r="AC4" s="99"/>
      <c r="AD4" s="100"/>
      <c r="AE4" s="101"/>
    </row>
    <row r="5" spans="1:31" ht="17.25" x14ac:dyDescent="0.2">
      <c r="A5" s="9" t="s">
        <v>33</v>
      </c>
      <c r="B5" s="112" t="s">
        <v>34</v>
      </c>
      <c r="C5" s="112"/>
      <c r="D5" s="112"/>
      <c r="E5" s="108" t="s">
        <v>35</v>
      </c>
      <c r="F5" s="109"/>
      <c r="G5" s="109"/>
      <c r="H5" s="108" t="s">
        <v>36</v>
      </c>
      <c r="I5" s="109"/>
      <c r="J5" s="109"/>
      <c r="K5" s="108" t="s">
        <v>38</v>
      </c>
      <c r="L5" s="109"/>
      <c r="M5" s="109"/>
      <c r="N5" s="108" t="s">
        <v>39</v>
      </c>
      <c r="O5" s="109"/>
      <c r="P5" s="109"/>
      <c r="Q5" s="108" t="s">
        <v>40</v>
      </c>
      <c r="R5" s="109"/>
      <c r="S5" s="110"/>
      <c r="T5" s="108" t="s">
        <v>42</v>
      </c>
      <c r="U5" s="109"/>
      <c r="V5" s="110"/>
      <c r="W5" s="108" t="s">
        <v>43</v>
      </c>
      <c r="X5" s="109"/>
      <c r="Y5" s="110"/>
      <c r="Z5" s="108" t="s">
        <v>41</v>
      </c>
      <c r="AA5" s="109"/>
      <c r="AB5" s="110"/>
      <c r="AC5" s="108" t="s">
        <v>188</v>
      </c>
      <c r="AD5" s="109"/>
      <c r="AE5" s="110"/>
    </row>
    <row r="6" spans="1:31" ht="17.25" x14ac:dyDescent="0.2">
      <c r="A6" s="9" t="s">
        <v>44</v>
      </c>
      <c r="B6" s="111">
        <v>1015</v>
      </c>
      <c r="C6" s="111"/>
      <c r="D6" s="111"/>
      <c r="E6" s="99">
        <v>1015</v>
      </c>
      <c r="F6" s="100"/>
      <c r="G6" s="100"/>
      <c r="H6" s="99">
        <v>1015</v>
      </c>
      <c r="I6" s="100"/>
      <c r="J6" s="100"/>
      <c r="K6" s="99">
        <v>1020</v>
      </c>
      <c r="L6" s="100"/>
      <c r="M6" s="100"/>
      <c r="N6" s="99">
        <v>1013</v>
      </c>
      <c r="O6" s="100"/>
      <c r="P6" s="100"/>
      <c r="Q6" s="99">
        <v>1010</v>
      </c>
      <c r="R6" s="100"/>
      <c r="S6" s="101"/>
      <c r="T6" s="99">
        <v>1012</v>
      </c>
      <c r="U6" s="100"/>
      <c r="V6" s="101"/>
      <c r="W6" s="99">
        <v>1020</v>
      </c>
      <c r="X6" s="100"/>
      <c r="Y6" s="101"/>
      <c r="Z6" s="99">
        <v>1018</v>
      </c>
      <c r="AA6" s="100"/>
      <c r="AB6" s="101"/>
      <c r="AC6" s="99">
        <v>1007</v>
      </c>
      <c r="AD6" s="100"/>
      <c r="AE6" s="101"/>
    </row>
    <row r="7" spans="1:31" x14ac:dyDescent="0.2">
      <c r="A7" s="8" t="s">
        <v>16</v>
      </c>
      <c r="B7" s="111">
        <v>-15</v>
      </c>
      <c r="C7" s="111"/>
      <c r="D7" s="111"/>
      <c r="E7" s="99">
        <v>-23</v>
      </c>
      <c r="F7" s="100"/>
      <c r="G7" s="100"/>
      <c r="H7" s="99">
        <v>-33</v>
      </c>
      <c r="I7" s="100"/>
      <c r="J7" s="100"/>
      <c r="K7" s="99">
        <v>-43</v>
      </c>
      <c r="L7" s="100"/>
      <c r="M7" s="100"/>
      <c r="N7" s="99">
        <v>-29</v>
      </c>
      <c r="O7" s="100"/>
      <c r="P7" s="100"/>
      <c r="Q7" s="99">
        <v>-19.5</v>
      </c>
      <c r="R7" s="100"/>
      <c r="S7" s="101"/>
      <c r="T7" s="99">
        <v>-3</v>
      </c>
      <c r="U7" s="100"/>
      <c r="V7" s="101"/>
      <c r="W7" s="99">
        <v>-6</v>
      </c>
      <c r="X7" s="100"/>
      <c r="Y7" s="101"/>
      <c r="Z7" s="99">
        <v>-5</v>
      </c>
      <c r="AA7" s="100"/>
      <c r="AB7" s="101"/>
      <c r="AC7" s="99">
        <v>-8</v>
      </c>
      <c r="AD7" s="100"/>
      <c r="AE7" s="101"/>
    </row>
    <row r="8" spans="1:31" x14ac:dyDescent="0.2">
      <c r="A8" s="8" t="s">
        <v>17</v>
      </c>
      <c r="B8" s="111">
        <v>43</v>
      </c>
      <c r="C8" s="111"/>
      <c r="D8" s="111"/>
      <c r="E8" s="99">
        <v>34</v>
      </c>
      <c r="F8" s="100"/>
      <c r="G8" s="100"/>
      <c r="H8" s="99">
        <v>40</v>
      </c>
      <c r="I8" s="100"/>
      <c r="J8" s="100"/>
      <c r="K8" s="99">
        <v>36</v>
      </c>
      <c r="L8" s="100"/>
      <c r="M8" s="100"/>
      <c r="N8" s="99">
        <v>35</v>
      </c>
      <c r="O8" s="100"/>
      <c r="P8" s="100"/>
      <c r="Q8" s="99">
        <v>33</v>
      </c>
      <c r="R8" s="100"/>
      <c r="S8" s="101"/>
      <c r="T8" s="99">
        <v>38</v>
      </c>
      <c r="U8" s="100"/>
      <c r="V8" s="101"/>
      <c r="W8" s="99">
        <v>42</v>
      </c>
      <c r="X8" s="100"/>
      <c r="Y8" s="101"/>
      <c r="Z8" s="99">
        <v>38</v>
      </c>
      <c r="AA8" s="100"/>
      <c r="AB8" s="101"/>
      <c r="AC8" s="99">
        <v>32</v>
      </c>
      <c r="AD8" s="100"/>
      <c r="AE8" s="101"/>
    </row>
    <row r="9" spans="1:31" x14ac:dyDescent="0.2">
      <c r="A9" s="36" t="s">
        <v>18</v>
      </c>
      <c r="B9" s="5" t="s">
        <v>31</v>
      </c>
      <c r="C9" s="5" t="s">
        <v>15</v>
      </c>
      <c r="D9" s="5" t="s">
        <v>14</v>
      </c>
      <c r="E9" s="5" t="s">
        <v>31</v>
      </c>
      <c r="F9" s="5" t="s">
        <v>15</v>
      </c>
      <c r="G9" s="5" t="s">
        <v>14</v>
      </c>
      <c r="H9" s="5" t="s">
        <v>31</v>
      </c>
      <c r="I9" s="5" t="s">
        <v>15</v>
      </c>
      <c r="J9" s="5" t="s">
        <v>14</v>
      </c>
      <c r="K9" s="5" t="s">
        <v>31</v>
      </c>
      <c r="L9" s="5" t="s">
        <v>15</v>
      </c>
      <c r="M9" s="5" t="s">
        <v>14</v>
      </c>
      <c r="N9" s="5" t="s">
        <v>31</v>
      </c>
      <c r="O9" s="5" t="s">
        <v>15</v>
      </c>
      <c r="P9" s="5" t="s">
        <v>14</v>
      </c>
      <c r="Q9" s="5" t="s">
        <v>31</v>
      </c>
      <c r="R9" s="5" t="s">
        <v>15</v>
      </c>
      <c r="S9" s="5" t="s">
        <v>14</v>
      </c>
      <c r="T9" s="5" t="s">
        <v>31</v>
      </c>
      <c r="U9" s="5" t="s">
        <v>15</v>
      </c>
      <c r="V9" s="5" t="s">
        <v>14</v>
      </c>
      <c r="W9" s="5" t="s">
        <v>31</v>
      </c>
      <c r="X9" s="5" t="s">
        <v>15</v>
      </c>
      <c r="Y9" s="5" t="s">
        <v>14</v>
      </c>
      <c r="Z9" s="5" t="s">
        <v>31</v>
      </c>
      <c r="AA9" s="5" t="s">
        <v>15</v>
      </c>
      <c r="AB9" s="5" t="s">
        <v>14</v>
      </c>
      <c r="AC9" s="5" t="s">
        <v>31</v>
      </c>
      <c r="AD9" s="5" t="s">
        <v>15</v>
      </c>
      <c r="AE9" s="5" t="s">
        <v>14</v>
      </c>
    </row>
    <row r="10" spans="1:31" x14ac:dyDescent="0.2">
      <c r="A10" s="10" t="s">
        <v>19</v>
      </c>
      <c r="B10" s="32">
        <v>4</v>
      </c>
      <c r="C10" s="10">
        <v>0</v>
      </c>
      <c r="D10" s="10">
        <v>8</v>
      </c>
      <c r="E10" s="11">
        <v>12</v>
      </c>
      <c r="F10" s="11">
        <v>2</v>
      </c>
      <c r="G10" s="11">
        <v>7</v>
      </c>
      <c r="H10" s="8">
        <v>9</v>
      </c>
      <c r="I10" s="8">
        <v>-7</v>
      </c>
      <c r="J10" s="8">
        <v>0</v>
      </c>
      <c r="K10" s="8">
        <v>4</v>
      </c>
      <c r="L10" s="8">
        <v>-11</v>
      </c>
      <c r="M10" s="8">
        <v>0</v>
      </c>
      <c r="N10" s="8">
        <v>9</v>
      </c>
      <c r="O10" s="8">
        <v>-5</v>
      </c>
      <c r="P10" s="8">
        <v>0</v>
      </c>
      <c r="Q10" s="8">
        <v>18</v>
      </c>
      <c r="R10" s="8">
        <v>0</v>
      </c>
      <c r="S10" s="11">
        <v>4</v>
      </c>
      <c r="T10" s="8">
        <v>8</v>
      </c>
      <c r="U10" s="8">
        <v>2</v>
      </c>
      <c r="V10" s="11">
        <v>7</v>
      </c>
      <c r="W10" s="8">
        <v>8</v>
      </c>
      <c r="X10" s="8">
        <v>1</v>
      </c>
      <c r="Y10" s="8">
        <v>12</v>
      </c>
      <c r="Z10" s="8">
        <v>10</v>
      </c>
      <c r="AA10" s="8">
        <v>-2</v>
      </c>
      <c r="AB10" s="8">
        <v>3</v>
      </c>
      <c r="AC10" s="71">
        <v>9</v>
      </c>
      <c r="AD10" s="71">
        <v>-2</v>
      </c>
      <c r="AE10" s="71">
        <v>2</v>
      </c>
    </row>
    <row r="11" spans="1:31" x14ac:dyDescent="0.2">
      <c r="A11" s="10" t="s">
        <v>20</v>
      </c>
      <c r="B11" s="32">
        <v>4</v>
      </c>
      <c r="C11" s="10">
        <v>2</v>
      </c>
      <c r="D11" s="10">
        <v>11</v>
      </c>
      <c r="E11" s="11">
        <v>12</v>
      </c>
      <c r="F11" s="11">
        <v>1</v>
      </c>
      <c r="G11" s="11">
        <v>7</v>
      </c>
      <c r="H11" s="8">
        <v>7</v>
      </c>
      <c r="I11" s="8">
        <v>-6</v>
      </c>
      <c r="J11" s="8">
        <v>0</v>
      </c>
      <c r="K11" s="8">
        <v>3</v>
      </c>
      <c r="L11" s="8">
        <v>-13</v>
      </c>
      <c r="M11" s="8">
        <v>-2</v>
      </c>
      <c r="N11" s="8">
        <v>7</v>
      </c>
      <c r="O11" s="8">
        <v>-5</v>
      </c>
      <c r="P11" s="8">
        <v>0</v>
      </c>
      <c r="Q11" s="8">
        <v>16</v>
      </c>
      <c r="R11" s="8">
        <v>-1</v>
      </c>
      <c r="S11" s="11">
        <v>4</v>
      </c>
      <c r="T11" s="8">
        <v>7</v>
      </c>
      <c r="U11" s="8">
        <v>2</v>
      </c>
      <c r="V11" s="11">
        <v>7</v>
      </c>
      <c r="W11" s="8">
        <v>7</v>
      </c>
      <c r="X11" s="8">
        <v>4</v>
      </c>
      <c r="Y11" s="8">
        <v>15</v>
      </c>
      <c r="Z11" s="8">
        <v>9</v>
      </c>
      <c r="AA11" s="8">
        <v>-2</v>
      </c>
      <c r="AB11" s="8">
        <v>5</v>
      </c>
      <c r="AC11" s="71">
        <v>7</v>
      </c>
      <c r="AD11" s="71">
        <v>-3</v>
      </c>
      <c r="AE11" s="71">
        <v>4</v>
      </c>
    </row>
    <row r="12" spans="1:31" x14ac:dyDescent="0.2">
      <c r="A12" s="10" t="s">
        <v>21</v>
      </c>
      <c r="B12" s="32">
        <v>4</v>
      </c>
      <c r="C12" s="10">
        <v>7</v>
      </c>
      <c r="D12" s="10">
        <v>16</v>
      </c>
      <c r="E12" s="11">
        <v>10</v>
      </c>
      <c r="F12" s="11">
        <v>4</v>
      </c>
      <c r="G12" s="11">
        <v>10</v>
      </c>
      <c r="H12" s="8">
        <v>8</v>
      </c>
      <c r="I12" s="8">
        <v>-2</v>
      </c>
      <c r="J12" s="8">
        <v>5</v>
      </c>
      <c r="K12" s="8">
        <v>4</v>
      </c>
      <c r="L12" s="8">
        <v>-7</v>
      </c>
      <c r="M12" s="8">
        <v>4</v>
      </c>
      <c r="N12" s="8">
        <v>7</v>
      </c>
      <c r="O12" s="8">
        <v>-2</v>
      </c>
      <c r="P12" s="8">
        <v>4</v>
      </c>
      <c r="Q12" s="8">
        <v>16</v>
      </c>
      <c r="R12" s="8">
        <v>1</v>
      </c>
      <c r="S12" s="11">
        <v>6</v>
      </c>
      <c r="T12" s="8">
        <v>8</v>
      </c>
      <c r="U12" s="8">
        <v>3</v>
      </c>
      <c r="V12" s="11">
        <v>10</v>
      </c>
      <c r="W12" s="8">
        <v>8</v>
      </c>
      <c r="X12" s="8">
        <v>7</v>
      </c>
      <c r="Y12" s="8">
        <v>19</v>
      </c>
      <c r="Z12" s="8">
        <v>10</v>
      </c>
      <c r="AA12" s="8">
        <v>2</v>
      </c>
      <c r="AB12" s="8">
        <v>10</v>
      </c>
      <c r="AC12" s="71">
        <v>8</v>
      </c>
      <c r="AD12" s="71">
        <v>0</v>
      </c>
      <c r="AE12" s="71">
        <v>5</v>
      </c>
    </row>
    <row r="13" spans="1:31" x14ac:dyDescent="0.2">
      <c r="A13" s="10" t="s">
        <v>22</v>
      </c>
      <c r="B13" s="32">
        <v>4</v>
      </c>
      <c r="C13" s="10">
        <v>12</v>
      </c>
      <c r="D13" s="10">
        <v>22</v>
      </c>
      <c r="E13" s="11">
        <v>8</v>
      </c>
      <c r="F13" s="11">
        <v>6</v>
      </c>
      <c r="G13" s="11">
        <v>13</v>
      </c>
      <c r="H13" s="8">
        <v>8</v>
      </c>
      <c r="I13" s="8">
        <v>3</v>
      </c>
      <c r="J13" s="8">
        <v>12</v>
      </c>
      <c r="K13" s="8">
        <v>5</v>
      </c>
      <c r="L13" s="8">
        <v>-2</v>
      </c>
      <c r="M13" s="8">
        <v>10</v>
      </c>
      <c r="N13" s="8">
        <v>7</v>
      </c>
      <c r="O13" s="8">
        <v>2</v>
      </c>
      <c r="P13" s="8">
        <v>10</v>
      </c>
      <c r="Q13" s="8">
        <v>13</v>
      </c>
      <c r="R13" s="8">
        <v>3</v>
      </c>
      <c r="S13" s="11">
        <v>9</v>
      </c>
      <c r="T13" s="8">
        <v>9</v>
      </c>
      <c r="U13" s="8">
        <v>4</v>
      </c>
      <c r="V13" s="11">
        <v>13</v>
      </c>
      <c r="W13" s="8">
        <v>7</v>
      </c>
      <c r="X13" s="8">
        <v>12</v>
      </c>
      <c r="Y13" s="8">
        <v>25</v>
      </c>
      <c r="Z13" s="8">
        <v>11</v>
      </c>
      <c r="AA13" s="8">
        <v>4</v>
      </c>
      <c r="AB13" s="8">
        <v>14</v>
      </c>
      <c r="AC13" s="71">
        <v>7</v>
      </c>
      <c r="AD13" s="71">
        <v>2</v>
      </c>
      <c r="AE13" s="71">
        <v>10</v>
      </c>
    </row>
    <row r="14" spans="1:31" x14ac:dyDescent="0.2">
      <c r="A14" s="10" t="s">
        <v>23</v>
      </c>
      <c r="B14" s="32">
        <v>2</v>
      </c>
      <c r="C14" s="10">
        <v>17</v>
      </c>
      <c r="D14" s="10">
        <v>28</v>
      </c>
      <c r="E14" s="11">
        <v>6</v>
      </c>
      <c r="F14" s="11">
        <v>9</v>
      </c>
      <c r="G14" s="11">
        <v>17</v>
      </c>
      <c r="H14" s="8">
        <v>8</v>
      </c>
      <c r="I14" s="8">
        <v>11</v>
      </c>
      <c r="J14" s="8">
        <v>20</v>
      </c>
      <c r="K14" s="8">
        <v>7</v>
      </c>
      <c r="L14" s="8">
        <v>4</v>
      </c>
      <c r="M14" s="8">
        <v>17</v>
      </c>
      <c r="N14" s="8">
        <v>8</v>
      </c>
      <c r="O14" s="8">
        <v>7</v>
      </c>
      <c r="P14" s="8">
        <v>16</v>
      </c>
      <c r="Q14" s="8">
        <v>12</v>
      </c>
      <c r="R14" s="8">
        <v>7</v>
      </c>
      <c r="S14" s="11">
        <v>14</v>
      </c>
      <c r="T14" s="8">
        <v>8</v>
      </c>
      <c r="U14" s="8">
        <v>8</v>
      </c>
      <c r="V14" s="11">
        <v>16</v>
      </c>
      <c r="W14" s="8">
        <v>7</v>
      </c>
      <c r="X14" s="8">
        <v>17</v>
      </c>
      <c r="Y14" s="8">
        <v>28</v>
      </c>
      <c r="Z14" s="8">
        <v>12</v>
      </c>
      <c r="AA14" s="8">
        <v>9</v>
      </c>
      <c r="AB14" s="8">
        <v>18</v>
      </c>
      <c r="AC14" s="71">
        <v>8</v>
      </c>
      <c r="AD14" s="71">
        <v>7</v>
      </c>
      <c r="AE14" s="71">
        <v>16</v>
      </c>
    </row>
    <row r="15" spans="1:31" x14ac:dyDescent="0.2">
      <c r="A15" s="10" t="s">
        <v>24</v>
      </c>
      <c r="B15" s="32">
        <v>0</v>
      </c>
      <c r="C15" s="10">
        <v>22</v>
      </c>
      <c r="D15" s="10">
        <v>34</v>
      </c>
      <c r="E15" s="11">
        <v>6</v>
      </c>
      <c r="F15" s="11">
        <v>12</v>
      </c>
      <c r="G15" s="11">
        <v>20</v>
      </c>
      <c r="H15" s="8">
        <v>7</v>
      </c>
      <c r="I15" s="8">
        <v>15</v>
      </c>
      <c r="J15" s="8">
        <v>24</v>
      </c>
      <c r="K15" s="8">
        <v>8</v>
      </c>
      <c r="L15" s="8">
        <v>8</v>
      </c>
      <c r="M15" s="8">
        <v>20</v>
      </c>
      <c r="N15" s="8">
        <v>9</v>
      </c>
      <c r="O15" s="8">
        <v>11</v>
      </c>
      <c r="P15" s="8">
        <v>20</v>
      </c>
      <c r="Q15" s="8">
        <v>12</v>
      </c>
      <c r="R15" s="8">
        <v>10</v>
      </c>
      <c r="S15" s="11">
        <v>17</v>
      </c>
      <c r="T15" s="8">
        <v>7</v>
      </c>
      <c r="U15" s="8">
        <v>11</v>
      </c>
      <c r="V15" s="11">
        <v>19</v>
      </c>
      <c r="W15" s="8">
        <v>7</v>
      </c>
      <c r="X15" s="8">
        <v>21</v>
      </c>
      <c r="Y15" s="8">
        <v>32</v>
      </c>
      <c r="Z15" s="8">
        <v>12</v>
      </c>
      <c r="AA15" s="8">
        <v>12</v>
      </c>
      <c r="AB15" s="8">
        <v>22</v>
      </c>
      <c r="AC15" s="71">
        <v>8</v>
      </c>
      <c r="AD15" s="71">
        <v>11</v>
      </c>
      <c r="AE15" s="71">
        <v>19</v>
      </c>
    </row>
    <row r="16" spans="1:31" x14ac:dyDescent="0.2">
      <c r="A16" s="10" t="s">
        <v>25</v>
      </c>
      <c r="B16" s="32">
        <v>0</v>
      </c>
      <c r="C16" s="10">
        <v>25</v>
      </c>
      <c r="D16" s="10">
        <v>37</v>
      </c>
      <c r="E16" s="11">
        <v>4</v>
      </c>
      <c r="F16" s="11">
        <v>14</v>
      </c>
      <c r="G16" s="11">
        <v>23</v>
      </c>
      <c r="H16" s="8">
        <v>7</v>
      </c>
      <c r="I16" s="8">
        <v>18</v>
      </c>
      <c r="J16" s="8">
        <v>28</v>
      </c>
      <c r="K16" s="8">
        <v>8</v>
      </c>
      <c r="L16" s="8">
        <v>11</v>
      </c>
      <c r="M16" s="8">
        <v>24</v>
      </c>
      <c r="N16" s="8">
        <v>10</v>
      </c>
      <c r="O16" s="8">
        <v>13</v>
      </c>
      <c r="P16" s="8">
        <v>22</v>
      </c>
      <c r="Q16" s="8">
        <v>14</v>
      </c>
      <c r="R16" s="8">
        <v>12</v>
      </c>
      <c r="S16" s="11">
        <v>18</v>
      </c>
      <c r="T16" s="8">
        <v>8</v>
      </c>
      <c r="U16" s="8">
        <v>13</v>
      </c>
      <c r="V16" s="11">
        <v>21</v>
      </c>
      <c r="W16" s="8">
        <v>9</v>
      </c>
      <c r="X16" s="8">
        <v>23</v>
      </c>
      <c r="Y16" s="8">
        <v>33</v>
      </c>
      <c r="Z16" s="8">
        <v>11</v>
      </c>
      <c r="AA16" s="8">
        <v>14</v>
      </c>
      <c r="AB16" s="8">
        <v>24</v>
      </c>
      <c r="AC16" s="71">
        <v>9</v>
      </c>
      <c r="AD16" s="71">
        <v>13</v>
      </c>
      <c r="AE16" s="71">
        <v>21</v>
      </c>
    </row>
    <row r="17" spans="1:31" x14ac:dyDescent="0.2">
      <c r="A17" s="10" t="s">
        <v>26</v>
      </c>
      <c r="B17" s="32">
        <v>0</v>
      </c>
      <c r="C17" s="10">
        <v>24</v>
      </c>
      <c r="D17" s="10">
        <v>36</v>
      </c>
      <c r="E17" s="11">
        <v>4</v>
      </c>
      <c r="F17" s="11">
        <v>14</v>
      </c>
      <c r="G17" s="11">
        <v>23</v>
      </c>
      <c r="H17" s="8">
        <v>7</v>
      </c>
      <c r="I17" s="8">
        <v>18</v>
      </c>
      <c r="J17" s="8">
        <v>26</v>
      </c>
      <c r="K17" s="8">
        <v>6</v>
      </c>
      <c r="L17" s="8">
        <v>10</v>
      </c>
      <c r="M17" s="8">
        <v>23</v>
      </c>
      <c r="N17" s="8">
        <v>10</v>
      </c>
      <c r="O17" s="8">
        <v>12</v>
      </c>
      <c r="P17" s="8">
        <v>21</v>
      </c>
      <c r="Q17" s="8">
        <v>16</v>
      </c>
      <c r="R17" s="8">
        <v>12</v>
      </c>
      <c r="S17" s="11">
        <v>17</v>
      </c>
      <c r="T17" s="8">
        <v>8</v>
      </c>
      <c r="U17" s="8">
        <v>13</v>
      </c>
      <c r="V17" s="11">
        <v>21</v>
      </c>
      <c r="W17" s="8">
        <v>7</v>
      </c>
      <c r="X17" s="8">
        <v>22</v>
      </c>
      <c r="Y17" s="8">
        <v>33</v>
      </c>
      <c r="Z17" s="8">
        <v>11</v>
      </c>
      <c r="AA17" s="8">
        <v>14</v>
      </c>
      <c r="AB17" s="8">
        <v>23</v>
      </c>
      <c r="AC17" s="71">
        <v>10</v>
      </c>
      <c r="AD17" s="71">
        <v>12</v>
      </c>
      <c r="AE17" s="71">
        <v>21</v>
      </c>
    </row>
    <row r="18" spans="1:31" x14ac:dyDescent="0.2">
      <c r="A18" s="10" t="s">
        <v>27</v>
      </c>
      <c r="B18" s="32">
        <v>0</v>
      </c>
      <c r="C18" s="10">
        <v>20</v>
      </c>
      <c r="D18" s="10">
        <v>32</v>
      </c>
      <c r="E18" s="11">
        <v>5</v>
      </c>
      <c r="F18" s="11">
        <v>12</v>
      </c>
      <c r="G18" s="11">
        <v>19</v>
      </c>
      <c r="H18" s="8">
        <v>7</v>
      </c>
      <c r="I18" s="8">
        <v>14</v>
      </c>
      <c r="J18" s="8">
        <v>22</v>
      </c>
      <c r="K18" s="8">
        <v>6</v>
      </c>
      <c r="L18" s="8">
        <v>5</v>
      </c>
      <c r="M18" s="8">
        <v>18</v>
      </c>
      <c r="N18" s="8">
        <v>9</v>
      </c>
      <c r="O18" s="8">
        <v>8</v>
      </c>
      <c r="P18" s="8">
        <v>16</v>
      </c>
      <c r="Q18" s="8">
        <v>17</v>
      </c>
      <c r="R18" s="8">
        <v>9</v>
      </c>
      <c r="S18" s="11">
        <v>14</v>
      </c>
      <c r="T18" s="8">
        <v>7</v>
      </c>
      <c r="U18" s="8">
        <v>11</v>
      </c>
      <c r="V18" s="11">
        <v>18</v>
      </c>
      <c r="W18" s="8">
        <v>6</v>
      </c>
      <c r="X18" s="8">
        <v>19</v>
      </c>
      <c r="Y18" s="8">
        <v>31</v>
      </c>
      <c r="Z18" s="8">
        <v>9</v>
      </c>
      <c r="AA18" s="8">
        <v>10</v>
      </c>
      <c r="AB18" s="8">
        <v>19</v>
      </c>
      <c r="AC18" s="71">
        <v>8</v>
      </c>
      <c r="AD18" s="71">
        <v>10</v>
      </c>
      <c r="AE18" s="71">
        <v>17</v>
      </c>
    </row>
    <row r="19" spans="1:31" x14ac:dyDescent="0.2">
      <c r="A19" s="10" t="s">
        <v>28</v>
      </c>
      <c r="B19" s="32">
        <v>1</v>
      </c>
      <c r="C19" s="10">
        <v>14</v>
      </c>
      <c r="D19" s="10">
        <v>25</v>
      </c>
      <c r="E19" s="11">
        <v>9</v>
      </c>
      <c r="F19" s="11">
        <v>7</v>
      </c>
      <c r="G19" s="11">
        <v>14</v>
      </c>
      <c r="H19" s="8">
        <v>7</v>
      </c>
      <c r="I19" s="8">
        <v>8</v>
      </c>
      <c r="J19" s="8">
        <v>15</v>
      </c>
      <c r="K19" s="8">
        <v>3</v>
      </c>
      <c r="L19" s="8">
        <v>-1</v>
      </c>
      <c r="M19" s="8">
        <v>11</v>
      </c>
      <c r="N19" s="8">
        <v>10</v>
      </c>
      <c r="O19" s="8">
        <v>4</v>
      </c>
      <c r="P19" s="8">
        <v>9</v>
      </c>
      <c r="Q19" s="8">
        <v>19</v>
      </c>
      <c r="R19" s="8">
        <v>7</v>
      </c>
      <c r="S19" s="11">
        <v>11</v>
      </c>
      <c r="T19" s="8">
        <v>8</v>
      </c>
      <c r="U19" s="8">
        <v>8</v>
      </c>
      <c r="V19" s="11">
        <v>14</v>
      </c>
      <c r="W19" s="8">
        <v>6</v>
      </c>
      <c r="X19" s="8">
        <v>12</v>
      </c>
      <c r="Y19" s="8">
        <v>25</v>
      </c>
      <c r="Z19" s="8">
        <v>9</v>
      </c>
      <c r="AA19" s="8">
        <v>7</v>
      </c>
      <c r="AB19" s="8">
        <v>14</v>
      </c>
      <c r="AC19" s="71">
        <v>9</v>
      </c>
      <c r="AD19" s="71">
        <v>7</v>
      </c>
      <c r="AE19" s="71">
        <v>12</v>
      </c>
    </row>
    <row r="20" spans="1:31" x14ac:dyDescent="0.2">
      <c r="A20" s="10" t="s">
        <v>29</v>
      </c>
      <c r="B20" s="32">
        <v>4</v>
      </c>
      <c r="C20" s="10">
        <v>7</v>
      </c>
      <c r="D20" s="10">
        <v>16</v>
      </c>
      <c r="E20" s="11">
        <v>13</v>
      </c>
      <c r="F20" s="11">
        <v>3</v>
      </c>
      <c r="G20" s="11">
        <v>9</v>
      </c>
      <c r="H20" s="8">
        <v>8</v>
      </c>
      <c r="I20" s="8">
        <v>2</v>
      </c>
      <c r="J20" s="8">
        <v>8</v>
      </c>
      <c r="K20" s="8">
        <v>3</v>
      </c>
      <c r="L20" s="8">
        <v>-8</v>
      </c>
      <c r="M20" s="8">
        <v>3</v>
      </c>
      <c r="N20" s="8">
        <v>10</v>
      </c>
      <c r="O20" s="8">
        <v>-1</v>
      </c>
      <c r="P20" s="8">
        <v>4</v>
      </c>
      <c r="Q20" s="8">
        <v>17</v>
      </c>
      <c r="R20" s="8">
        <v>3</v>
      </c>
      <c r="S20" s="11">
        <v>7</v>
      </c>
      <c r="T20" s="8">
        <v>8</v>
      </c>
      <c r="U20" s="8">
        <v>4</v>
      </c>
      <c r="V20" s="11">
        <v>10</v>
      </c>
      <c r="W20" s="8">
        <v>8</v>
      </c>
      <c r="X20" s="8">
        <v>6</v>
      </c>
      <c r="Y20" s="8">
        <v>18</v>
      </c>
      <c r="Z20" s="8">
        <v>10</v>
      </c>
      <c r="AA20" s="8">
        <v>2</v>
      </c>
      <c r="AB20" s="8">
        <v>7</v>
      </c>
      <c r="AC20" s="71">
        <v>9</v>
      </c>
      <c r="AD20" s="71">
        <v>3</v>
      </c>
      <c r="AE20" s="71">
        <v>7</v>
      </c>
    </row>
    <row r="21" spans="1:31" x14ac:dyDescent="0.2">
      <c r="A21" s="10" t="s">
        <v>30</v>
      </c>
      <c r="B21" s="32">
        <v>3</v>
      </c>
      <c r="C21" s="10">
        <v>8</v>
      </c>
      <c r="D21" s="10">
        <v>10</v>
      </c>
      <c r="E21" s="11">
        <v>12</v>
      </c>
      <c r="F21" s="11">
        <v>1</v>
      </c>
      <c r="G21" s="11">
        <v>6</v>
      </c>
      <c r="H21" s="8">
        <v>9</v>
      </c>
      <c r="I21" s="8">
        <v>-3</v>
      </c>
      <c r="J21" s="8">
        <v>3</v>
      </c>
      <c r="K21" s="8">
        <v>3</v>
      </c>
      <c r="L21" s="8">
        <v>-12</v>
      </c>
      <c r="M21" s="8">
        <v>-1</v>
      </c>
      <c r="N21" s="8">
        <v>8</v>
      </c>
      <c r="O21" s="8">
        <v>-5</v>
      </c>
      <c r="P21" s="8">
        <v>0</v>
      </c>
      <c r="Q21" s="8">
        <v>19</v>
      </c>
      <c r="R21" s="8">
        <v>1</v>
      </c>
      <c r="S21" s="11">
        <v>5</v>
      </c>
      <c r="T21" s="8">
        <v>8</v>
      </c>
      <c r="U21" s="8">
        <v>2</v>
      </c>
      <c r="V21" s="11">
        <v>7</v>
      </c>
      <c r="W21" s="8">
        <v>7</v>
      </c>
      <c r="X21" s="8">
        <v>4</v>
      </c>
      <c r="Y21" s="8">
        <v>14</v>
      </c>
      <c r="Z21" s="8">
        <v>10</v>
      </c>
      <c r="AA21" s="8">
        <v>-1</v>
      </c>
      <c r="AB21" s="8">
        <v>4</v>
      </c>
      <c r="AC21" s="71">
        <v>9</v>
      </c>
      <c r="AD21" s="71">
        <v>0</v>
      </c>
      <c r="AE21" s="71">
        <v>4</v>
      </c>
    </row>
    <row r="22" spans="1:31" s="35" customFormat="1" x14ac:dyDescent="0.2">
      <c r="A22" s="33" t="s">
        <v>127</v>
      </c>
      <c r="B22" s="34">
        <f>(B10+B11+B12+B13+B14+B15+B16+B17+B18+B19+B20+B21)/12</f>
        <v>2.1666666666666665</v>
      </c>
      <c r="C22" s="33">
        <f>(C10+C11+C12+C13+C14+C15+C16+C17+C18+C19+C20+C21)/12</f>
        <v>13.166666666666666</v>
      </c>
      <c r="D22" s="34">
        <f>(D10+D11+D12+D13+D14+D15+D16+D17+D18+D19+D20+D21)/12</f>
        <v>22.916666666666668</v>
      </c>
      <c r="E22" s="34">
        <f>(E10+E11+E12+E13+E14+E15+E16+E17+E18+E19+E20+E21)/12</f>
        <v>8.4166666666666661</v>
      </c>
      <c r="F22" s="34">
        <f t="shared" ref="F22:AB22" si="0">(F10+F11+F12+F13+F14+F15+F16+F17+F18+F19+F20+F21)/12</f>
        <v>7.083333333333333</v>
      </c>
      <c r="G22" s="34">
        <f t="shared" si="0"/>
        <v>14</v>
      </c>
      <c r="H22" s="34">
        <f t="shared" si="0"/>
        <v>7.666666666666667</v>
      </c>
      <c r="I22" s="34">
        <f t="shared" si="0"/>
        <v>5.916666666666667</v>
      </c>
      <c r="J22" s="34">
        <f t="shared" si="0"/>
        <v>13.583333333333334</v>
      </c>
      <c r="K22" s="34">
        <f t="shared" si="0"/>
        <v>5</v>
      </c>
      <c r="L22" s="34">
        <f t="shared" si="0"/>
        <v>-1.3333333333333333</v>
      </c>
      <c r="M22" s="34">
        <f t="shared" si="0"/>
        <v>10.583333333333334</v>
      </c>
      <c r="N22" s="34">
        <f t="shared" si="0"/>
        <v>8.6666666666666661</v>
      </c>
      <c r="O22" s="34">
        <f t="shared" si="0"/>
        <v>3.25</v>
      </c>
      <c r="P22" s="34">
        <f t="shared" si="0"/>
        <v>10.166666666666666</v>
      </c>
      <c r="Q22" s="34">
        <f t="shared" si="0"/>
        <v>15.75</v>
      </c>
      <c r="R22" s="34">
        <f t="shared" si="0"/>
        <v>5.333333333333333</v>
      </c>
      <c r="S22" s="34">
        <f t="shared" si="0"/>
        <v>10.5</v>
      </c>
      <c r="T22" s="34">
        <f t="shared" si="0"/>
        <v>7.833333333333333</v>
      </c>
      <c r="U22" s="34">
        <f t="shared" si="0"/>
        <v>6.75</v>
      </c>
      <c r="V22" s="34">
        <f t="shared" si="0"/>
        <v>13.583333333333334</v>
      </c>
      <c r="W22" s="34">
        <f t="shared" si="0"/>
        <v>7.25</v>
      </c>
      <c r="X22" s="34">
        <f t="shared" si="0"/>
        <v>12.333333333333334</v>
      </c>
      <c r="Y22" s="34">
        <f t="shared" si="0"/>
        <v>23.75</v>
      </c>
      <c r="Z22" s="34">
        <f t="shared" si="0"/>
        <v>10.333333333333334</v>
      </c>
      <c r="AA22" s="34">
        <f t="shared" si="0"/>
        <v>5.75</v>
      </c>
      <c r="AB22" s="34">
        <f t="shared" si="0"/>
        <v>13.583333333333334</v>
      </c>
      <c r="AC22" s="34">
        <f t="shared" ref="AC22:AE22" si="1">(AC10+AC11+AC12+AC13+AC14+AC15+AC16+AC17+AC18+AC19+AC20+AC21)/12</f>
        <v>8.4166666666666661</v>
      </c>
      <c r="AD22" s="34">
        <f t="shared" si="1"/>
        <v>5</v>
      </c>
      <c r="AE22" s="34">
        <f t="shared" si="1"/>
        <v>11.5</v>
      </c>
    </row>
  </sheetData>
  <mergeCells count="77">
    <mergeCell ref="B1:D1"/>
    <mergeCell ref="B2:D2"/>
    <mergeCell ref="A1:A2"/>
    <mergeCell ref="E1:M1"/>
    <mergeCell ref="E2:G2"/>
    <mergeCell ref="E8:G8"/>
    <mergeCell ref="B3:D3"/>
    <mergeCell ref="B4:D4"/>
    <mergeCell ref="B5:D5"/>
    <mergeCell ref="B6:D6"/>
    <mergeCell ref="B7:D7"/>
    <mergeCell ref="B8:D8"/>
    <mergeCell ref="E3:G3"/>
    <mergeCell ref="E4:G4"/>
    <mergeCell ref="E5:G5"/>
    <mergeCell ref="E6:G6"/>
    <mergeCell ref="E7:G7"/>
    <mergeCell ref="H8:J8"/>
    <mergeCell ref="K2:M2"/>
    <mergeCell ref="K3:M3"/>
    <mergeCell ref="K4:M4"/>
    <mergeCell ref="K5:M5"/>
    <mergeCell ref="K6:M6"/>
    <mergeCell ref="K7:M7"/>
    <mergeCell ref="K8:M8"/>
    <mergeCell ref="H2:J2"/>
    <mergeCell ref="H3:J3"/>
    <mergeCell ref="H4:J4"/>
    <mergeCell ref="H5:J5"/>
    <mergeCell ref="H6:J6"/>
    <mergeCell ref="H7:J7"/>
    <mergeCell ref="Q6:S6"/>
    <mergeCell ref="Q7:S7"/>
    <mergeCell ref="Q8:S8"/>
    <mergeCell ref="N2:P2"/>
    <mergeCell ref="N3:P3"/>
    <mergeCell ref="N4:P4"/>
    <mergeCell ref="N5:P5"/>
    <mergeCell ref="N6:P6"/>
    <mergeCell ref="N7:P7"/>
    <mergeCell ref="T8:V8"/>
    <mergeCell ref="N1:S1"/>
    <mergeCell ref="T1:Y1"/>
    <mergeCell ref="T3:V3"/>
    <mergeCell ref="T4:V4"/>
    <mergeCell ref="T5:V5"/>
    <mergeCell ref="T6:V6"/>
    <mergeCell ref="T7:V7"/>
    <mergeCell ref="W2:Y2"/>
    <mergeCell ref="W3:Y3"/>
    <mergeCell ref="T2:V2"/>
    <mergeCell ref="N8:P8"/>
    <mergeCell ref="Q2:S2"/>
    <mergeCell ref="Q3:S3"/>
    <mergeCell ref="Q4:S4"/>
    <mergeCell ref="Q5:S5"/>
    <mergeCell ref="W4:Y4"/>
    <mergeCell ref="W5:Y5"/>
    <mergeCell ref="W6:Y6"/>
    <mergeCell ref="W7:Y7"/>
    <mergeCell ref="W8:Y8"/>
    <mergeCell ref="Z8:AB8"/>
    <mergeCell ref="Z1:AB1"/>
    <mergeCell ref="Z2:AB2"/>
    <mergeCell ref="Z3:AB3"/>
    <mergeCell ref="Z4:AB4"/>
    <mergeCell ref="Z5:AB5"/>
    <mergeCell ref="Z6:AB6"/>
    <mergeCell ref="Z7:AB7"/>
    <mergeCell ref="AC6:AE6"/>
    <mergeCell ref="AC7:AE7"/>
    <mergeCell ref="AC8:AE8"/>
    <mergeCell ref="AC1:AE1"/>
    <mergeCell ref="AC2:AE2"/>
    <mergeCell ref="AC3:AE3"/>
    <mergeCell ref="AC4:AE4"/>
    <mergeCell ref="AC5:A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rightToLeft="1" tabSelected="1" topLeftCell="A79" zoomScaleNormal="100" workbookViewId="0">
      <selection activeCell="F103" sqref="F103"/>
    </sheetView>
  </sheetViews>
  <sheetFormatPr defaultColWidth="9" defaultRowHeight="14.25" x14ac:dyDescent="0.2"/>
  <cols>
    <col min="1" max="1" width="75.25" style="1" customWidth="1"/>
    <col min="2" max="2" width="15.25" style="2" customWidth="1"/>
    <col min="3" max="3" width="11.875" style="1" customWidth="1"/>
    <col min="4" max="4" width="10.25" style="1" customWidth="1"/>
    <col min="5" max="6" width="11.375" style="1" customWidth="1"/>
    <col min="7" max="7" width="13.375" style="1" customWidth="1"/>
    <col min="8" max="8" width="11.875" style="1" customWidth="1"/>
    <col min="9" max="9" width="15.125" style="1" customWidth="1"/>
    <col min="10" max="10" width="14.625" style="1" customWidth="1"/>
    <col min="11" max="11" width="14.375" style="79" customWidth="1"/>
    <col min="12" max="16384" width="9" style="1"/>
  </cols>
  <sheetData>
    <row r="1" spans="1:13" s="3" customFormat="1" ht="15.75" customHeight="1" x14ac:dyDescent="0.2">
      <c r="A1" s="115" t="s">
        <v>12</v>
      </c>
      <c r="B1" s="45" t="s">
        <v>1</v>
      </c>
      <c r="C1" s="113" t="s">
        <v>2</v>
      </c>
      <c r="D1" s="113"/>
      <c r="E1" s="113"/>
      <c r="F1" s="113" t="s">
        <v>3</v>
      </c>
      <c r="G1" s="113"/>
      <c r="H1" s="113" t="s">
        <v>4</v>
      </c>
      <c r="I1" s="113"/>
      <c r="J1" s="69" t="s">
        <v>5</v>
      </c>
      <c r="K1" s="77" t="s">
        <v>186</v>
      </c>
      <c r="L1" s="83"/>
      <c r="M1" s="84"/>
    </row>
    <row r="2" spans="1:13" s="4" customFormat="1" ht="15" customHeight="1" x14ac:dyDescent="0.25">
      <c r="A2" s="115"/>
      <c r="B2" s="46" t="s">
        <v>0</v>
      </c>
      <c r="C2" s="46" t="s">
        <v>6</v>
      </c>
      <c r="D2" s="46" t="s">
        <v>45</v>
      </c>
      <c r="E2" s="46" t="s">
        <v>37</v>
      </c>
      <c r="F2" s="46" t="s">
        <v>7</v>
      </c>
      <c r="G2" s="46" t="s">
        <v>8</v>
      </c>
      <c r="H2" s="46" t="s">
        <v>9</v>
      </c>
      <c r="I2" s="46" t="s">
        <v>10</v>
      </c>
      <c r="J2" s="70" t="s">
        <v>11</v>
      </c>
      <c r="K2" s="78" t="s">
        <v>187</v>
      </c>
      <c r="L2" s="85"/>
      <c r="M2" s="86"/>
    </row>
    <row r="3" spans="1:13" x14ac:dyDescent="0.2">
      <c r="A3" s="13" t="s">
        <v>46</v>
      </c>
      <c r="B3" s="48">
        <v>1365.49</v>
      </c>
      <c r="C3" s="48">
        <v>3536.96</v>
      </c>
      <c r="D3" s="48">
        <v>3520.01</v>
      </c>
      <c r="E3" s="48">
        <v>3397.28</v>
      </c>
      <c r="F3" s="48">
        <v>4561.3</v>
      </c>
      <c r="G3" s="48">
        <v>4472.29</v>
      </c>
      <c r="H3" s="48">
        <v>4119.37</v>
      </c>
      <c r="I3" s="48">
        <v>2973.95</v>
      </c>
      <c r="J3" s="76">
        <v>6300.95</v>
      </c>
      <c r="K3" s="80">
        <v>4135.91</v>
      </c>
    </row>
    <row r="4" spans="1:13" x14ac:dyDescent="0.2">
      <c r="A4" s="13" t="s">
        <v>112</v>
      </c>
      <c r="B4" s="14">
        <v>377.22</v>
      </c>
      <c r="C4" s="48">
        <v>961.24</v>
      </c>
      <c r="D4" s="48">
        <v>970.72</v>
      </c>
      <c r="E4" s="48">
        <v>954.12</v>
      </c>
      <c r="F4" s="48">
        <v>1246.67</v>
      </c>
      <c r="G4" s="48">
        <v>1240.98</v>
      </c>
      <c r="H4" s="48">
        <v>1169.92</v>
      </c>
      <c r="I4" s="48">
        <v>851.16</v>
      </c>
      <c r="J4" s="76">
        <v>1706.17</v>
      </c>
      <c r="K4" s="80">
        <v>1139.56</v>
      </c>
    </row>
    <row r="5" spans="1:13" s="23" customFormat="1" x14ac:dyDescent="0.2">
      <c r="A5" s="22" t="s">
        <v>55</v>
      </c>
      <c r="B5" s="27"/>
      <c r="C5" s="27"/>
      <c r="D5" s="27"/>
      <c r="E5" s="27"/>
      <c r="F5" s="27"/>
      <c r="G5" s="27"/>
      <c r="H5" s="27"/>
      <c r="I5" s="27"/>
      <c r="J5" s="87"/>
      <c r="K5" s="27"/>
    </row>
    <row r="6" spans="1:13" x14ac:dyDescent="0.2">
      <c r="A6" s="15" t="s">
        <v>47</v>
      </c>
      <c r="B6" s="16">
        <v>3.5</v>
      </c>
      <c r="C6" s="48">
        <v>15.9</v>
      </c>
      <c r="D6" s="48">
        <v>15.9</v>
      </c>
      <c r="E6" s="48">
        <v>15.9</v>
      </c>
      <c r="F6" s="48">
        <v>21.32</v>
      </c>
      <c r="G6" s="48">
        <v>21.32</v>
      </c>
      <c r="H6" s="48">
        <v>20.329999999999998</v>
      </c>
      <c r="I6" s="48">
        <v>13.56</v>
      </c>
      <c r="J6" s="76">
        <v>27.42</v>
      </c>
      <c r="K6" s="79">
        <v>20</v>
      </c>
    </row>
    <row r="7" spans="1:13" x14ac:dyDescent="0.2">
      <c r="A7" s="17" t="s">
        <v>48</v>
      </c>
      <c r="B7" s="18">
        <v>32.94</v>
      </c>
      <c r="C7" s="48">
        <v>63.59</v>
      </c>
      <c r="D7" s="48">
        <v>63.59</v>
      </c>
      <c r="E7" s="48">
        <v>63.59</v>
      </c>
      <c r="F7" s="48">
        <v>109.42</v>
      </c>
      <c r="G7" s="48">
        <v>89.78</v>
      </c>
      <c r="H7" s="48">
        <v>81.34</v>
      </c>
      <c r="I7" s="48">
        <v>67.78</v>
      </c>
      <c r="J7" s="76">
        <v>131.62</v>
      </c>
      <c r="K7" s="79">
        <v>107.66</v>
      </c>
    </row>
    <row r="8" spans="1:13" x14ac:dyDescent="0.2">
      <c r="A8" s="15" t="s">
        <v>49</v>
      </c>
      <c r="B8" s="16">
        <v>3</v>
      </c>
      <c r="C8" s="48">
        <v>9.5399999999999991</v>
      </c>
      <c r="D8" s="48">
        <v>9.5399999999999991</v>
      </c>
      <c r="E8" s="48">
        <v>8.3699999999999992</v>
      </c>
      <c r="F8" s="48">
        <v>12.34</v>
      </c>
      <c r="G8" s="48">
        <v>12.91</v>
      </c>
      <c r="H8" s="48">
        <v>8.1300000000000008</v>
      </c>
      <c r="I8" s="48">
        <v>6.78</v>
      </c>
      <c r="J8" s="76">
        <v>16.45</v>
      </c>
      <c r="K8" s="79">
        <v>12</v>
      </c>
    </row>
    <row r="9" spans="1:13" x14ac:dyDescent="0.2">
      <c r="A9" s="17" t="s">
        <v>50</v>
      </c>
      <c r="B9" s="18">
        <v>0.8</v>
      </c>
      <c r="C9" s="48">
        <v>5.56</v>
      </c>
      <c r="D9" s="48">
        <v>5.56</v>
      </c>
      <c r="E9" s="48">
        <v>5.56</v>
      </c>
      <c r="F9" s="48">
        <v>10.1</v>
      </c>
      <c r="G9" s="48">
        <v>10.1</v>
      </c>
      <c r="H9" s="48">
        <v>6.78</v>
      </c>
      <c r="I9" s="48">
        <v>5.42</v>
      </c>
      <c r="J9" s="76">
        <v>7.68</v>
      </c>
      <c r="K9" s="79">
        <v>7.69</v>
      </c>
    </row>
    <row r="10" spans="1:13" x14ac:dyDescent="0.2">
      <c r="A10" s="15" t="s">
        <v>51</v>
      </c>
      <c r="B10" s="16">
        <v>1.5</v>
      </c>
      <c r="C10" s="48">
        <v>6.36</v>
      </c>
      <c r="D10" s="48">
        <v>7.15</v>
      </c>
      <c r="E10" s="48">
        <v>5.96</v>
      </c>
      <c r="F10" s="48">
        <v>10.1</v>
      </c>
      <c r="G10" s="48">
        <v>7.86</v>
      </c>
      <c r="H10" s="48">
        <v>6.78</v>
      </c>
      <c r="I10" s="48">
        <v>5.42</v>
      </c>
      <c r="J10" s="76">
        <v>7.68</v>
      </c>
      <c r="K10" s="79">
        <v>6.92</v>
      </c>
    </row>
    <row r="11" spans="1:13" x14ac:dyDescent="0.2">
      <c r="A11" s="17" t="s">
        <v>52</v>
      </c>
      <c r="B11" s="18">
        <v>1.26</v>
      </c>
      <c r="C11" s="48">
        <v>3.95</v>
      </c>
      <c r="D11" s="48">
        <v>3.81</v>
      </c>
      <c r="E11" s="48">
        <v>3.48</v>
      </c>
      <c r="F11" s="48">
        <v>4.93</v>
      </c>
      <c r="G11" s="48">
        <v>5.08</v>
      </c>
      <c r="H11" s="48">
        <v>4.1900000000000004</v>
      </c>
      <c r="I11" s="48">
        <v>3.73</v>
      </c>
      <c r="J11" s="76">
        <v>5.48</v>
      </c>
      <c r="K11" s="79">
        <v>6.12</v>
      </c>
    </row>
    <row r="12" spans="1:13" x14ac:dyDescent="0.2">
      <c r="A12" s="15" t="s">
        <v>53</v>
      </c>
      <c r="B12" s="16">
        <v>0.86</v>
      </c>
      <c r="C12" s="48">
        <v>1.97</v>
      </c>
      <c r="D12" s="48">
        <v>1.93</v>
      </c>
      <c r="E12" s="48">
        <v>1.62</v>
      </c>
      <c r="F12" s="48">
        <v>3.54</v>
      </c>
      <c r="G12" s="48">
        <v>2.97</v>
      </c>
      <c r="H12" s="48">
        <v>1.99</v>
      </c>
      <c r="I12" s="48">
        <v>1.8</v>
      </c>
      <c r="J12" s="76">
        <v>4.92</v>
      </c>
      <c r="K12" s="79">
        <v>3.65</v>
      </c>
    </row>
    <row r="13" spans="1:13" x14ac:dyDescent="0.2">
      <c r="A13" s="17" t="s">
        <v>54</v>
      </c>
      <c r="B13" s="18">
        <v>0.65</v>
      </c>
      <c r="C13" s="48">
        <v>1.75</v>
      </c>
      <c r="D13" s="48">
        <v>1.46</v>
      </c>
      <c r="E13" s="48">
        <v>1.3</v>
      </c>
      <c r="F13" s="48">
        <v>3.22</v>
      </c>
      <c r="G13" s="48">
        <v>2.42</v>
      </c>
      <c r="H13" s="48">
        <v>1.62</v>
      </c>
      <c r="I13" s="48">
        <v>1.4</v>
      </c>
      <c r="J13" s="76">
        <v>4.55</v>
      </c>
      <c r="K13" s="79">
        <v>2.94</v>
      </c>
    </row>
    <row r="14" spans="1:13" s="23" customFormat="1" x14ac:dyDescent="0.2">
      <c r="A14" s="22" t="s">
        <v>56</v>
      </c>
      <c r="B14" s="27"/>
      <c r="C14" s="27"/>
      <c r="D14" s="27"/>
      <c r="E14" s="27"/>
      <c r="F14" s="27"/>
      <c r="G14" s="27"/>
      <c r="H14" s="27"/>
      <c r="I14" s="27"/>
      <c r="J14" s="87"/>
      <c r="K14" s="27"/>
    </row>
    <row r="15" spans="1:13" x14ac:dyDescent="0.2">
      <c r="A15" s="15" t="s">
        <v>57</v>
      </c>
      <c r="B15" s="16">
        <v>0.74</v>
      </c>
      <c r="C15" s="48">
        <v>1.76</v>
      </c>
      <c r="D15" s="48">
        <v>2.2200000000000002</v>
      </c>
      <c r="E15" s="48">
        <v>1.47</v>
      </c>
      <c r="F15" s="48">
        <v>2.13</v>
      </c>
      <c r="G15" s="48">
        <v>2.09</v>
      </c>
      <c r="H15" s="48">
        <v>1.26</v>
      </c>
      <c r="I15" s="48">
        <v>1.22</v>
      </c>
      <c r="J15" s="76">
        <v>1.85</v>
      </c>
      <c r="K15" s="79">
        <v>1.64</v>
      </c>
    </row>
    <row r="16" spans="1:13" x14ac:dyDescent="0.2">
      <c r="A16" s="17" t="s">
        <v>58</v>
      </c>
      <c r="B16" s="18">
        <v>0.42</v>
      </c>
      <c r="C16" s="48">
        <v>2.65</v>
      </c>
      <c r="D16" s="48">
        <v>2.2999999999999998</v>
      </c>
      <c r="E16" s="48">
        <v>1.94</v>
      </c>
      <c r="F16" s="48">
        <v>3.05</v>
      </c>
      <c r="G16" s="48">
        <v>3.36</v>
      </c>
      <c r="H16" s="48">
        <v>1.49</v>
      </c>
      <c r="I16" s="48">
        <v>1.27</v>
      </c>
      <c r="J16" s="76">
        <v>3.05</v>
      </c>
      <c r="K16" s="79">
        <v>3.17</v>
      </c>
    </row>
    <row r="17" spans="1:11" x14ac:dyDescent="0.2">
      <c r="A17" s="15" t="s">
        <v>59</v>
      </c>
      <c r="B17" s="16">
        <v>1.73</v>
      </c>
      <c r="C17" s="48">
        <v>3.26</v>
      </c>
      <c r="D17" s="48">
        <v>2.4900000000000002</v>
      </c>
      <c r="E17" s="48">
        <v>2.2599999999999998</v>
      </c>
      <c r="F17" s="48">
        <v>3.51</v>
      </c>
      <c r="G17" s="48">
        <v>1.92</v>
      </c>
      <c r="H17" s="48">
        <v>2.27</v>
      </c>
      <c r="I17" s="48">
        <v>1.77</v>
      </c>
      <c r="J17" s="76">
        <v>3.09</v>
      </c>
      <c r="K17" s="79">
        <v>2.4</v>
      </c>
    </row>
    <row r="18" spans="1:11" x14ac:dyDescent="0.2">
      <c r="A18" s="17" t="s">
        <v>60</v>
      </c>
      <c r="B18" s="18">
        <v>1.31</v>
      </c>
      <c r="C18" s="48">
        <v>3.75</v>
      </c>
      <c r="D18" s="48">
        <v>2.82</v>
      </c>
      <c r="E18" s="48">
        <v>2.86</v>
      </c>
      <c r="F18" s="48">
        <v>4.2699999999999996</v>
      </c>
      <c r="G18" s="48">
        <v>4.53</v>
      </c>
      <c r="H18" s="48">
        <v>3.04</v>
      </c>
      <c r="I18" s="48">
        <v>2.4500000000000002</v>
      </c>
      <c r="J18" s="76">
        <v>7.21</v>
      </c>
      <c r="K18" s="79">
        <v>4.1399999999999997</v>
      </c>
    </row>
    <row r="19" spans="1:11" x14ac:dyDescent="0.2">
      <c r="A19" s="15" t="s">
        <v>61</v>
      </c>
      <c r="B19" s="16">
        <v>3.3</v>
      </c>
      <c r="C19" s="48">
        <v>12.27</v>
      </c>
      <c r="D19" s="48">
        <v>12.48</v>
      </c>
      <c r="E19" s="48">
        <v>11.02</v>
      </c>
      <c r="F19" s="48">
        <v>11.89</v>
      </c>
      <c r="G19" s="48">
        <v>12.67</v>
      </c>
      <c r="H19" s="48">
        <v>8.44</v>
      </c>
      <c r="I19" s="48">
        <v>8.67</v>
      </c>
      <c r="J19" s="76">
        <v>28.56</v>
      </c>
      <c r="K19" s="79">
        <v>13.52</v>
      </c>
    </row>
    <row r="20" spans="1:11" x14ac:dyDescent="0.2">
      <c r="A20" s="17" t="s">
        <v>62</v>
      </c>
      <c r="B20" s="18">
        <v>2.85</v>
      </c>
      <c r="C20" s="48">
        <v>12.39</v>
      </c>
      <c r="D20" s="48">
        <v>10.73</v>
      </c>
      <c r="E20" s="48">
        <v>10.9</v>
      </c>
      <c r="F20" s="48">
        <v>15.44</v>
      </c>
      <c r="G20" s="48">
        <v>13.64</v>
      </c>
      <c r="H20" s="48">
        <v>7.69</v>
      </c>
      <c r="I20" s="48">
        <v>6.89</v>
      </c>
      <c r="J20" s="76">
        <v>31.15</v>
      </c>
      <c r="K20" s="79">
        <v>9.33</v>
      </c>
    </row>
    <row r="21" spans="1:11" x14ac:dyDescent="0.2">
      <c r="A21" s="15" t="s">
        <v>63</v>
      </c>
      <c r="B21" s="16">
        <v>7.03</v>
      </c>
      <c r="C21" s="48">
        <v>16.28</v>
      </c>
      <c r="D21" s="48">
        <v>12.77</v>
      </c>
      <c r="E21" s="48">
        <v>12.17</v>
      </c>
      <c r="F21" s="48">
        <v>28.06</v>
      </c>
      <c r="G21" s="48">
        <v>29.31</v>
      </c>
      <c r="H21" s="48">
        <v>14.78</v>
      </c>
      <c r="I21" s="48">
        <v>10.46</v>
      </c>
      <c r="J21" s="76">
        <v>56.09</v>
      </c>
      <c r="K21" s="79">
        <v>15.27</v>
      </c>
    </row>
    <row r="22" spans="1:11" x14ac:dyDescent="0.2">
      <c r="A22" s="17" t="s">
        <v>64</v>
      </c>
      <c r="B22" s="18">
        <v>0.95</v>
      </c>
      <c r="C22" s="48">
        <v>3.09</v>
      </c>
      <c r="D22" s="48">
        <v>2.98</v>
      </c>
      <c r="E22" s="48">
        <v>3.58</v>
      </c>
      <c r="F22" s="48">
        <v>3.32</v>
      </c>
      <c r="G22" s="48">
        <v>3.39</v>
      </c>
      <c r="H22" s="48">
        <v>2.78</v>
      </c>
      <c r="I22" s="48">
        <v>2.5099999999999998</v>
      </c>
      <c r="J22" s="76">
        <v>4.22</v>
      </c>
      <c r="K22" s="79">
        <v>3.07</v>
      </c>
    </row>
    <row r="23" spans="1:11" x14ac:dyDescent="0.2">
      <c r="A23" s="15" t="s">
        <v>65</v>
      </c>
      <c r="B23" s="16">
        <v>1.21</v>
      </c>
      <c r="C23" s="48">
        <v>1.46</v>
      </c>
      <c r="D23" s="48">
        <v>1.26</v>
      </c>
      <c r="E23" s="48">
        <v>1.48</v>
      </c>
      <c r="F23" s="48">
        <v>2.39</v>
      </c>
      <c r="G23" s="48">
        <v>2.46</v>
      </c>
      <c r="H23" s="48">
        <v>1.36</v>
      </c>
      <c r="I23" s="48">
        <v>1.31</v>
      </c>
      <c r="J23" s="76">
        <v>3.08</v>
      </c>
      <c r="K23" s="79">
        <v>2.86</v>
      </c>
    </row>
    <row r="24" spans="1:11" x14ac:dyDescent="0.2">
      <c r="A24" s="17" t="s">
        <v>66</v>
      </c>
      <c r="B24" s="18">
        <v>0.9</v>
      </c>
      <c r="C24" s="48">
        <v>3.15</v>
      </c>
      <c r="D24" s="48">
        <v>2.83</v>
      </c>
      <c r="E24" s="48">
        <v>3.28</v>
      </c>
      <c r="F24" s="48">
        <v>3.23</v>
      </c>
      <c r="G24" s="48">
        <v>3.1</v>
      </c>
      <c r="H24" s="48">
        <v>2.38</v>
      </c>
      <c r="I24" s="48">
        <v>2.36</v>
      </c>
      <c r="J24" s="76">
        <v>3.51</v>
      </c>
      <c r="K24" s="79">
        <v>2.96</v>
      </c>
    </row>
    <row r="25" spans="1:11" x14ac:dyDescent="0.2">
      <c r="A25" s="15" t="s">
        <v>67</v>
      </c>
      <c r="B25" s="16">
        <v>0.53</v>
      </c>
      <c r="C25" s="48">
        <v>3.65</v>
      </c>
      <c r="D25" s="48">
        <v>3.01</v>
      </c>
      <c r="E25" s="48">
        <v>3.9</v>
      </c>
      <c r="F25" s="48">
        <v>4.03</v>
      </c>
      <c r="G25" s="48">
        <v>4.0599999999999996</v>
      </c>
      <c r="H25" s="48">
        <v>3.15</v>
      </c>
      <c r="I25" s="48">
        <v>2.5499999999999998</v>
      </c>
      <c r="J25" s="76">
        <v>4.6399999999999997</v>
      </c>
      <c r="K25" s="79">
        <v>4.41</v>
      </c>
    </row>
    <row r="26" spans="1:11" x14ac:dyDescent="0.2">
      <c r="A26" s="17" t="s">
        <v>68</v>
      </c>
      <c r="B26" s="18">
        <v>0.41</v>
      </c>
      <c r="C26" s="48">
        <v>2.19</v>
      </c>
      <c r="D26" s="48">
        <v>2.13</v>
      </c>
      <c r="E26" s="48">
        <v>1.95</v>
      </c>
      <c r="F26" s="48">
        <v>2.39</v>
      </c>
      <c r="G26" s="48">
        <v>2.33</v>
      </c>
      <c r="H26" s="48">
        <v>1.41</v>
      </c>
      <c r="I26" s="48">
        <v>1.47</v>
      </c>
      <c r="J26" s="76">
        <v>2.4300000000000002</v>
      </c>
      <c r="K26" s="79">
        <v>1.93</v>
      </c>
    </row>
    <row r="27" spans="1:11" x14ac:dyDescent="0.2">
      <c r="A27" s="15" t="s">
        <v>69</v>
      </c>
      <c r="B27" s="16">
        <v>0.37</v>
      </c>
      <c r="C27" s="48">
        <v>2</v>
      </c>
      <c r="D27" s="48">
        <v>2.0299999999999998</v>
      </c>
      <c r="E27" s="48">
        <v>2.14</v>
      </c>
      <c r="F27" s="48">
        <v>2.62</v>
      </c>
      <c r="G27" s="48">
        <v>2.17</v>
      </c>
      <c r="H27" s="48">
        <v>1.44</v>
      </c>
      <c r="I27" s="48">
        <v>1.44</v>
      </c>
      <c r="J27" s="76">
        <v>2.4900000000000002</v>
      </c>
      <c r="K27" s="79">
        <v>1.63</v>
      </c>
    </row>
    <row r="28" spans="1:11" x14ac:dyDescent="0.2">
      <c r="A28" s="17" t="s">
        <v>70</v>
      </c>
      <c r="B28" s="18">
        <v>0.42</v>
      </c>
      <c r="C28" s="48">
        <v>2.2000000000000002</v>
      </c>
      <c r="D28" s="48">
        <v>1.89</v>
      </c>
      <c r="E28" s="48">
        <v>2.1</v>
      </c>
      <c r="F28" s="48">
        <v>2.59</v>
      </c>
      <c r="G28" s="48">
        <v>2.4700000000000002</v>
      </c>
      <c r="H28" s="48">
        <v>1.01</v>
      </c>
      <c r="I28" s="48">
        <v>0.8</v>
      </c>
      <c r="J28" s="76">
        <v>2.6</v>
      </c>
      <c r="K28" s="79">
        <v>1.83</v>
      </c>
    </row>
    <row r="29" spans="1:11" x14ac:dyDescent="0.2">
      <c r="A29" s="15" t="s">
        <v>71</v>
      </c>
      <c r="B29" s="16">
        <v>0.32</v>
      </c>
      <c r="C29" s="48">
        <v>2.1</v>
      </c>
      <c r="D29" s="48">
        <v>1.42</v>
      </c>
      <c r="E29" s="48">
        <v>1.44</v>
      </c>
      <c r="F29" s="48">
        <v>2.2200000000000002</v>
      </c>
      <c r="G29" s="48">
        <v>2.31</v>
      </c>
      <c r="H29" s="48">
        <v>1.34</v>
      </c>
      <c r="I29" s="48">
        <v>1.07</v>
      </c>
      <c r="J29" s="76">
        <v>1.36</v>
      </c>
      <c r="K29" s="79">
        <v>1.28</v>
      </c>
    </row>
    <row r="30" spans="1:11" x14ac:dyDescent="0.2">
      <c r="A30" s="17" t="s">
        <v>72</v>
      </c>
      <c r="B30" s="18">
        <v>1</v>
      </c>
      <c r="C30" s="48">
        <v>15.9</v>
      </c>
      <c r="D30" s="48">
        <v>11.92</v>
      </c>
      <c r="E30" s="48">
        <v>11.92</v>
      </c>
      <c r="F30" s="48">
        <v>16.829999999999998</v>
      </c>
      <c r="G30" s="48">
        <v>16.829999999999998</v>
      </c>
      <c r="H30" s="48">
        <v>10.85</v>
      </c>
      <c r="I30" s="48">
        <v>9.49</v>
      </c>
      <c r="J30" s="76">
        <v>16.45</v>
      </c>
      <c r="K30" s="79">
        <v>10</v>
      </c>
    </row>
    <row r="31" spans="1:11" x14ac:dyDescent="0.2">
      <c r="A31" s="15" t="s">
        <v>73</v>
      </c>
      <c r="B31" s="16">
        <v>0.51</v>
      </c>
      <c r="C31" s="48">
        <v>3.41</v>
      </c>
      <c r="D31" s="48">
        <v>2.5299999999999998</v>
      </c>
      <c r="E31" s="48">
        <v>2.92</v>
      </c>
      <c r="F31" s="48">
        <v>3.66</v>
      </c>
      <c r="G31" s="48">
        <v>3.95</v>
      </c>
      <c r="H31" s="48">
        <v>2.57</v>
      </c>
      <c r="I31" s="48">
        <v>2.16</v>
      </c>
      <c r="J31" s="76">
        <v>2.12</v>
      </c>
      <c r="K31" s="79">
        <v>1.8</v>
      </c>
    </row>
    <row r="32" spans="1:11" x14ac:dyDescent="0.2">
      <c r="A32" s="17" t="s">
        <v>51</v>
      </c>
      <c r="B32" s="18">
        <v>1.2</v>
      </c>
      <c r="C32" s="48">
        <v>3.28</v>
      </c>
      <c r="D32" s="48">
        <v>2.76</v>
      </c>
      <c r="E32" s="48">
        <v>3.2</v>
      </c>
      <c r="F32" s="48">
        <v>4.59</v>
      </c>
      <c r="G32" s="48">
        <v>4.26</v>
      </c>
      <c r="H32" s="48">
        <v>2.84</v>
      </c>
      <c r="I32" s="48">
        <v>2.09</v>
      </c>
      <c r="J32" s="76">
        <v>2.5499999999999998</v>
      </c>
      <c r="K32" s="79">
        <v>2.4300000000000002</v>
      </c>
    </row>
    <row r="33" spans="1:11" x14ac:dyDescent="0.2">
      <c r="A33" s="15" t="s">
        <v>74</v>
      </c>
      <c r="B33" s="16">
        <v>2.2000000000000002</v>
      </c>
      <c r="C33" s="48">
        <v>14.31</v>
      </c>
      <c r="D33" s="48">
        <v>13.51</v>
      </c>
      <c r="E33" s="48">
        <v>13.12</v>
      </c>
      <c r="F33" s="48">
        <v>15.65</v>
      </c>
      <c r="G33" s="48">
        <v>14.59</v>
      </c>
      <c r="H33" s="48">
        <v>17.010000000000002</v>
      </c>
      <c r="I33" s="48">
        <v>14.91</v>
      </c>
      <c r="J33" s="76">
        <v>9.6</v>
      </c>
      <c r="K33" s="79">
        <v>8.57</v>
      </c>
    </row>
    <row r="34" spans="1:11" s="23" customFormat="1" x14ac:dyDescent="0.2">
      <c r="A34" s="22" t="s">
        <v>75</v>
      </c>
      <c r="B34" s="27"/>
      <c r="C34" s="27"/>
      <c r="D34" s="27"/>
      <c r="E34" s="27"/>
      <c r="F34" s="27"/>
      <c r="G34" s="27"/>
      <c r="H34" s="27"/>
      <c r="I34" s="27"/>
      <c r="J34" s="87"/>
      <c r="K34" s="27"/>
    </row>
    <row r="35" spans="1:11" x14ac:dyDescent="0.2">
      <c r="A35" s="15" t="s">
        <v>76</v>
      </c>
      <c r="B35" s="16">
        <v>0.36</v>
      </c>
      <c r="C35" s="48">
        <v>2.42</v>
      </c>
      <c r="D35" s="48">
        <v>2.58</v>
      </c>
      <c r="E35" s="48">
        <v>2.78</v>
      </c>
      <c r="F35" s="48">
        <v>4.26</v>
      </c>
      <c r="G35" s="48">
        <v>4.38</v>
      </c>
      <c r="H35" s="48">
        <v>3.52</v>
      </c>
      <c r="I35" s="48">
        <v>3.25</v>
      </c>
      <c r="J35" s="76">
        <v>4.3899999999999997</v>
      </c>
      <c r="K35" s="79">
        <v>3.69</v>
      </c>
    </row>
    <row r="36" spans="1:11" x14ac:dyDescent="0.2">
      <c r="A36" s="17" t="s">
        <v>77</v>
      </c>
      <c r="B36" s="18">
        <v>11.88</v>
      </c>
      <c r="C36" s="48">
        <v>95.39</v>
      </c>
      <c r="D36" s="48">
        <v>124.01</v>
      </c>
      <c r="E36" s="48">
        <v>86.65</v>
      </c>
      <c r="F36" s="48">
        <v>89.22</v>
      </c>
      <c r="G36" s="48">
        <v>89.78</v>
      </c>
      <c r="H36" s="48">
        <v>214.19</v>
      </c>
      <c r="I36" s="48">
        <v>88.8</v>
      </c>
      <c r="J36" s="76">
        <v>93.23</v>
      </c>
      <c r="K36" s="79">
        <v>86.13</v>
      </c>
    </row>
    <row r="37" spans="1:11" x14ac:dyDescent="0.2">
      <c r="A37" s="15" t="s">
        <v>78</v>
      </c>
      <c r="B37" s="16">
        <v>0.48</v>
      </c>
      <c r="C37" s="48">
        <v>2.98</v>
      </c>
      <c r="D37" s="48">
        <v>3.38</v>
      </c>
      <c r="E37" s="48">
        <v>3.02</v>
      </c>
      <c r="F37" s="48">
        <v>11.22</v>
      </c>
      <c r="G37" s="48">
        <v>10.1</v>
      </c>
      <c r="H37" s="48">
        <v>4.07</v>
      </c>
      <c r="I37" s="48">
        <v>2.98</v>
      </c>
      <c r="J37" s="76">
        <v>6.58</v>
      </c>
      <c r="K37" s="79">
        <v>6.92</v>
      </c>
    </row>
    <row r="38" spans="1:11" x14ac:dyDescent="0.2">
      <c r="A38" s="17" t="s">
        <v>79</v>
      </c>
      <c r="B38" s="18">
        <v>0.4</v>
      </c>
      <c r="C38" s="48">
        <v>1.49</v>
      </c>
      <c r="D38" s="48">
        <v>1.59</v>
      </c>
      <c r="E38" s="48">
        <v>1.59</v>
      </c>
      <c r="F38" s="48">
        <v>1.57</v>
      </c>
      <c r="G38" s="48">
        <v>1.35</v>
      </c>
      <c r="H38" s="48">
        <v>2.2999999999999998</v>
      </c>
      <c r="I38" s="48">
        <v>1.52</v>
      </c>
      <c r="J38" s="76">
        <v>4.17</v>
      </c>
      <c r="K38" s="79">
        <v>2</v>
      </c>
    </row>
    <row r="39" spans="1:11" x14ac:dyDescent="0.2">
      <c r="A39" s="15" t="s">
        <v>80</v>
      </c>
      <c r="B39" s="16">
        <v>3.57</v>
      </c>
      <c r="C39" s="48">
        <v>27.82</v>
      </c>
      <c r="D39" s="48">
        <v>27.82</v>
      </c>
      <c r="E39" s="48">
        <v>26.87</v>
      </c>
      <c r="F39" s="48">
        <v>54.99</v>
      </c>
      <c r="G39" s="48">
        <v>80.8</v>
      </c>
      <c r="H39" s="48">
        <v>39.04</v>
      </c>
      <c r="I39" s="48">
        <v>21.15</v>
      </c>
      <c r="J39" s="76">
        <v>75.680000000000007</v>
      </c>
      <c r="K39" s="79">
        <v>63.84</v>
      </c>
    </row>
    <row r="40" spans="1:11" x14ac:dyDescent="0.2">
      <c r="A40" s="17" t="s">
        <v>81</v>
      </c>
      <c r="B40" s="18">
        <v>0.64</v>
      </c>
      <c r="C40" s="48">
        <v>1.29</v>
      </c>
      <c r="D40" s="48">
        <v>1.1000000000000001</v>
      </c>
      <c r="E40" s="48">
        <v>1.06</v>
      </c>
      <c r="F40" s="48">
        <v>1.94</v>
      </c>
      <c r="G40" s="48">
        <v>1.93</v>
      </c>
      <c r="H40" s="48">
        <v>1.92</v>
      </c>
      <c r="I40" s="48">
        <v>1.86</v>
      </c>
      <c r="J40" s="76">
        <v>1.83</v>
      </c>
      <c r="K40" s="79">
        <v>1.84</v>
      </c>
    </row>
    <row r="41" spans="1:11" x14ac:dyDescent="0.2">
      <c r="A41" s="15" t="s">
        <v>82</v>
      </c>
      <c r="B41" s="20">
        <v>50000</v>
      </c>
      <c r="C41" s="26">
        <v>20667.73</v>
      </c>
      <c r="D41" s="26">
        <v>20667.73</v>
      </c>
      <c r="E41" s="26">
        <v>22257.55</v>
      </c>
      <c r="F41" s="26">
        <v>39277.74</v>
      </c>
      <c r="G41" s="26">
        <v>33666.629999999997</v>
      </c>
      <c r="H41" s="26">
        <v>31798.78</v>
      </c>
      <c r="I41" s="26">
        <v>33891.230000000003</v>
      </c>
      <c r="J41" s="88">
        <v>32603.57</v>
      </c>
      <c r="K41" s="93">
        <v>39987.699999999997</v>
      </c>
    </row>
    <row r="42" spans="1:11" x14ac:dyDescent="0.2">
      <c r="A42" s="17" t="s">
        <v>83</v>
      </c>
      <c r="B42" s="21">
        <v>52448.27</v>
      </c>
      <c r="C42" s="26">
        <v>19357.75</v>
      </c>
      <c r="D42" s="26">
        <v>20050.75</v>
      </c>
      <c r="E42" s="26">
        <v>19330.41</v>
      </c>
      <c r="F42" s="26">
        <v>37299.43</v>
      </c>
      <c r="G42" s="26">
        <v>37818.43</v>
      </c>
      <c r="H42" s="26">
        <v>32169.64</v>
      </c>
      <c r="I42" s="26">
        <v>29382.51</v>
      </c>
      <c r="J42" s="88">
        <v>31520.44</v>
      </c>
      <c r="K42" s="93">
        <v>39495.54</v>
      </c>
    </row>
    <row r="43" spans="1:11" s="23" customFormat="1" x14ac:dyDescent="0.2">
      <c r="A43" s="22" t="s">
        <v>84</v>
      </c>
      <c r="B43" s="27"/>
      <c r="C43" s="27"/>
      <c r="D43" s="27"/>
      <c r="E43" s="27"/>
      <c r="F43" s="27"/>
      <c r="G43" s="27"/>
      <c r="H43" s="27"/>
      <c r="I43" s="27"/>
      <c r="J43" s="87"/>
      <c r="K43" s="27"/>
    </row>
    <row r="44" spans="1:11" x14ac:dyDescent="0.2">
      <c r="A44" s="15" t="s">
        <v>85</v>
      </c>
      <c r="B44" s="16">
        <v>31.05</v>
      </c>
      <c r="C44" s="48">
        <v>75.239999999999995</v>
      </c>
      <c r="D44" s="48">
        <v>126.11</v>
      </c>
      <c r="E44" s="48">
        <v>158.03</v>
      </c>
      <c r="F44" s="48">
        <v>159.88</v>
      </c>
      <c r="G44" s="48">
        <v>204.99</v>
      </c>
      <c r="H44" s="48">
        <v>270.74</v>
      </c>
      <c r="I44" s="48">
        <v>196.09</v>
      </c>
      <c r="J44" s="76">
        <v>231.78</v>
      </c>
      <c r="K44" s="79">
        <v>183.95</v>
      </c>
    </row>
    <row r="45" spans="1:11" x14ac:dyDescent="0.2">
      <c r="A45" s="17" t="s">
        <v>86</v>
      </c>
      <c r="B45" s="18">
        <v>0.01</v>
      </c>
      <c r="C45" s="48">
        <v>0.27</v>
      </c>
      <c r="D45" s="48">
        <v>0.3</v>
      </c>
      <c r="E45" s="48">
        <v>0.22</v>
      </c>
      <c r="F45" s="48">
        <v>0.15</v>
      </c>
      <c r="G45" s="48">
        <v>0.1</v>
      </c>
      <c r="H45" s="48">
        <v>0.18</v>
      </c>
      <c r="I45" s="48">
        <v>0.12</v>
      </c>
      <c r="J45" s="76">
        <v>0.3</v>
      </c>
      <c r="K45" s="79">
        <v>0.18</v>
      </c>
    </row>
    <row r="46" spans="1:11" x14ac:dyDescent="0.2">
      <c r="A46" s="15" t="s">
        <v>87</v>
      </c>
      <c r="B46" s="16">
        <v>16.34</v>
      </c>
      <c r="C46" s="48">
        <v>68.12</v>
      </c>
      <c r="D46" s="48">
        <v>58.33</v>
      </c>
      <c r="E46" s="48">
        <v>70.38</v>
      </c>
      <c r="F46" s="48">
        <v>52.88</v>
      </c>
      <c r="G46" s="48">
        <v>56.2</v>
      </c>
      <c r="H46" s="48">
        <v>43.16</v>
      </c>
      <c r="I46" s="48">
        <v>36.56</v>
      </c>
      <c r="J46" s="76">
        <v>57.37</v>
      </c>
      <c r="K46" s="79">
        <v>38.97</v>
      </c>
    </row>
    <row r="47" spans="1:11" s="23" customFormat="1" x14ac:dyDescent="0.2">
      <c r="A47" s="22" t="s">
        <v>88</v>
      </c>
      <c r="B47" s="27"/>
      <c r="C47" s="27"/>
      <c r="D47" s="27"/>
      <c r="E47" s="27"/>
      <c r="F47" s="27"/>
      <c r="G47" s="27"/>
      <c r="H47" s="27"/>
      <c r="I47" s="27"/>
      <c r="J47" s="87"/>
      <c r="K47" s="27"/>
    </row>
    <row r="48" spans="1:11" x14ac:dyDescent="0.2">
      <c r="A48" s="15" t="s">
        <v>89</v>
      </c>
      <c r="B48" s="16">
        <v>25.74</v>
      </c>
      <c r="C48" s="48">
        <v>44.64</v>
      </c>
      <c r="D48" s="48">
        <v>48.4</v>
      </c>
      <c r="E48" s="48">
        <v>55.54</v>
      </c>
      <c r="F48" s="48">
        <v>51.43</v>
      </c>
      <c r="G48" s="48">
        <v>49.82</v>
      </c>
      <c r="H48" s="48">
        <v>61.63</v>
      </c>
      <c r="I48" s="48">
        <v>33.270000000000003</v>
      </c>
      <c r="J48" s="76">
        <v>97.16</v>
      </c>
      <c r="K48" s="79">
        <v>42.62</v>
      </c>
    </row>
    <row r="49" spans="1:11" x14ac:dyDescent="0.2">
      <c r="A49" s="17" t="s">
        <v>90</v>
      </c>
      <c r="B49" s="18">
        <v>13.42</v>
      </c>
      <c r="C49" s="48">
        <v>12.37</v>
      </c>
      <c r="D49" s="48">
        <v>18.86</v>
      </c>
      <c r="E49" s="48">
        <v>17.86</v>
      </c>
      <c r="F49" s="48">
        <v>35.44</v>
      </c>
      <c r="G49" s="48">
        <v>34.25</v>
      </c>
      <c r="H49" s="48">
        <v>14.28</v>
      </c>
      <c r="I49" s="48">
        <v>17.28</v>
      </c>
      <c r="J49" s="76">
        <v>38.26</v>
      </c>
      <c r="K49" s="79">
        <v>32.299999999999997</v>
      </c>
    </row>
    <row r="50" spans="1:11" x14ac:dyDescent="0.2">
      <c r="A50" s="15" t="s">
        <v>91</v>
      </c>
      <c r="B50" s="16">
        <v>3.56</v>
      </c>
      <c r="C50" s="48">
        <v>11.92</v>
      </c>
      <c r="D50" s="48">
        <v>11.92</v>
      </c>
      <c r="E50" s="48">
        <v>11.92</v>
      </c>
      <c r="F50" s="48">
        <v>15.71</v>
      </c>
      <c r="G50" s="48">
        <v>16.829999999999998</v>
      </c>
      <c r="H50" s="48">
        <v>19.62</v>
      </c>
      <c r="I50" s="48">
        <v>12.2</v>
      </c>
      <c r="J50" s="76">
        <v>21.39</v>
      </c>
      <c r="K50" s="79">
        <v>18.07</v>
      </c>
    </row>
    <row r="51" spans="1:11" s="23" customFormat="1" x14ac:dyDescent="0.2">
      <c r="A51" s="22" t="s">
        <v>92</v>
      </c>
      <c r="B51" s="27"/>
      <c r="C51" s="27"/>
      <c r="D51" s="27"/>
      <c r="E51" s="27"/>
      <c r="F51" s="27"/>
      <c r="G51" s="27"/>
      <c r="H51" s="27"/>
      <c r="I51" s="27"/>
      <c r="J51" s="87"/>
      <c r="K51" s="27"/>
    </row>
    <row r="52" spans="1:11" x14ac:dyDescent="0.2">
      <c r="A52" s="15" t="s">
        <v>93</v>
      </c>
      <c r="B52" s="16">
        <v>111.37</v>
      </c>
      <c r="C52" s="26">
        <v>1032.52</v>
      </c>
      <c r="D52" s="26">
        <v>1350.21</v>
      </c>
      <c r="E52" s="48">
        <v>970.17</v>
      </c>
      <c r="F52" s="48">
        <v>362.42</v>
      </c>
      <c r="G52" s="48">
        <v>364.39</v>
      </c>
      <c r="H52" s="26">
        <v>1941.53</v>
      </c>
      <c r="I52" s="26">
        <v>1152.3</v>
      </c>
      <c r="J52" s="88">
        <v>2943.92</v>
      </c>
      <c r="K52" s="79">
        <v>495.07</v>
      </c>
    </row>
    <row r="53" spans="1:11" x14ac:dyDescent="0.2">
      <c r="A53" s="17" t="s">
        <v>94</v>
      </c>
      <c r="B53" s="21">
        <v>1904.82</v>
      </c>
      <c r="C53" s="26">
        <v>25935.040000000001</v>
      </c>
      <c r="D53" s="26">
        <v>20096.38</v>
      </c>
      <c r="E53" s="26">
        <v>12817.97</v>
      </c>
      <c r="F53" s="26">
        <v>11398.56</v>
      </c>
      <c r="G53" s="26">
        <v>5436.71</v>
      </c>
      <c r="H53" s="26">
        <v>24207.18</v>
      </c>
      <c r="I53" s="26">
        <v>18753.150000000001</v>
      </c>
      <c r="J53" s="88">
        <v>32972.699999999997</v>
      </c>
      <c r="K53" s="93">
        <v>9489.39</v>
      </c>
    </row>
    <row r="54" spans="1:11" s="23" customFormat="1" x14ac:dyDescent="0.2">
      <c r="A54" s="22" t="s">
        <v>95</v>
      </c>
      <c r="B54" s="27"/>
      <c r="C54" s="27"/>
      <c r="D54" s="27"/>
      <c r="E54" s="27"/>
      <c r="F54" s="27"/>
      <c r="G54" s="27"/>
      <c r="H54" s="27"/>
      <c r="I54" s="27"/>
      <c r="J54" s="87"/>
      <c r="K54" s="27"/>
    </row>
    <row r="55" spans="1:11" x14ac:dyDescent="0.2">
      <c r="A55" s="15" t="s">
        <v>96</v>
      </c>
      <c r="B55" s="16">
        <v>50.84</v>
      </c>
      <c r="C55" s="48">
        <v>63.85</v>
      </c>
      <c r="D55" s="48">
        <v>58.14</v>
      </c>
      <c r="E55" s="48">
        <v>49.39</v>
      </c>
      <c r="F55" s="48">
        <v>102.93</v>
      </c>
      <c r="G55" s="48">
        <v>99.86</v>
      </c>
      <c r="H55" s="48">
        <v>79.11</v>
      </c>
      <c r="I55" s="48">
        <v>83.15</v>
      </c>
      <c r="J55" s="76">
        <v>109.19</v>
      </c>
      <c r="K55" s="79">
        <v>115.86</v>
      </c>
    </row>
    <row r="56" spans="1:11" x14ac:dyDescent="0.2">
      <c r="A56" s="17" t="s">
        <v>97</v>
      </c>
      <c r="B56" s="18">
        <v>39.69</v>
      </c>
      <c r="C56" s="48">
        <v>39.200000000000003</v>
      </c>
      <c r="D56" s="48">
        <v>37.909999999999997</v>
      </c>
      <c r="E56" s="48">
        <v>43.22</v>
      </c>
      <c r="F56" s="48">
        <v>44.88</v>
      </c>
      <c r="G56" s="48">
        <v>42.48</v>
      </c>
      <c r="H56" s="48">
        <v>41.07</v>
      </c>
      <c r="I56" s="48">
        <v>37.020000000000003</v>
      </c>
      <c r="J56" s="76">
        <v>51.84</v>
      </c>
      <c r="K56" s="79">
        <v>51.3</v>
      </c>
    </row>
    <row r="57" spans="1:11" x14ac:dyDescent="0.2">
      <c r="A57" s="15" t="s">
        <v>98</v>
      </c>
      <c r="B57" s="16">
        <v>153.18</v>
      </c>
      <c r="C57" s="48">
        <v>91.65</v>
      </c>
      <c r="D57" s="48">
        <v>88.57</v>
      </c>
      <c r="E57" s="48">
        <v>79.52</v>
      </c>
      <c r="F57" s="48">
        <v>103.46</v>
      </c>
      <c r="G57" s="48">
        <v>120.95</v>
      </c>
      <c r="H57" s="48">
        <v>99.88</v>
      </c>
      <c r="I57" s="48">
        <v>91.93</v>
      </c>
      <c r="J57" s="76">
        <v>118.42</v>
      </c>
      <c r="K57" s="79">
        <v>124.9</v>
      </c>
    </row>
    <row r="58" spans="1:11" x14ac:dyDescent="0.2">
      <c r="A58" s="17" t="s">
        <v>99</v>
      </c>
      <c r="B58" s="18">
        <v>90.55</v>
      </c>
      <c r="C58" s="48">
        <v>128.4</v>
      </c>
      <c r="D58" s="48">
        <v>111.22</v>
      </c>
      <c r="E58" s="48">
        <v>98.09</v>
      </c>
      <c r="F58" s="48">
        <v>130.27000000000001</v>
      </c>
      <c r="G58" s="48">
        <v>149.62</v>
      </c>
      <c r="H58" s="48">
        <v>121.16</v>
      </c>
      <c r="I58" s="48">
        <v>80.37</v>
      </c>
      <c r="J58" s="76">
        <v>202.58</v>
      </c>
      <c r="K58" s="79">
        <v>184.43</v>
      </c>
    </row>
    <row r="59" spans="1:11" s="23" customFormat="1" x14ac:dyDescent="0.2">
      <c r="A59" s="22" t="s">
        <v>100</v>
      </c>
      <c r="B59" s="27"/>
      <c r="C59" s="27"/>
      <c r="D59" s="27"/>
      <c r="E59" s="27"/>
      <c r="F59" s="27"/>
      <c r="G59" s="27"/>
      <c r="H59" s="27"/>
      <c r="I59" s="27"/>
      <c r="J59" s="87"/>
      <c r="K59" s="27"/>
    </row>
    <row r="60" spans="1:11" x14ac:dyDescent="0.2">
      <c r="A60" s="15" t="s">
        <v>101</v>
      </c>
      <c r="B60" s="16">
        <v>533.39</v>
      </c>
      <c r="C60" s="26">
        <v>1681.7</v>
      </c>
      <c r="D60" s="26">
        <v>1609</v>
      </c>
      <c r="E60" s="26">
        <v>1031.77</v>
      </c>
      <c r="F60" s="26">
        <v>1545.26</v>
      </c>
      <c r="G60" s="26">
        <v>1122.22</v>
      </c>
      <c r="H60" s="26">
        <v>2353.41</v>
      </c>
      <c r="I60" s="26">
        <v>1026.23</v>
      </c>
      <c r="J60" s="88">
        <v>2172.21</v>
      </c>
      <c r="K60" s="93">
        <v>1671.2</v>
      </c>
    </row>
    <row r="61" spans="1:11" x14ac:dyDescent="0.2">
      <c r="A61" s="17" t="s">
        <v>102</v>
      </c>
      <c r="B61" s="18">
        <v>446.99</v>
      </c>
      <c r="C61" s="26">
        <v>1345.07</v>
      </c>
      <c r="D61" s="26">
        <v>1363.45</v>
      </c>
      <c r="E61" s="48">
        <v>860.33</v>
      </c>
      <c r="F61" s="26">
        <v>1206.24</v>
      </c>
      <c r="G61" s="48">
        <v>850.3</v>
      </c>
      <c r="H61" s="26">
        <v>1752.7</v>
      </c>
      <c r="I61" s="48">
        <v>794.12</v>
      </c>
      <c r="J61" s="88">
        <v>1583.53</v>
      </c>
      <c r="K61" s="93">
        <v>1268.3599999999999</v>
      </c>
    </row>
    <row r="62" spans="1:11" x14ac:dyDescent="0.2">
      <c r="A62" s="15" t="s">
        <v>103</v>
      </c>
      <c r="B62" s="20">
        <v>1464.93</v>
      </c>
      <c r="C62" s="26">
        <v>3261.63</v>
      </c>
      <c r="D62" s="26">
        <v>2795.69</v>
      </c>
      <c r="E62" s="26">
        <v>1889.45</v>
      </c>
      <c r="F62" s="26">
        <v>2412.85</v>
      </c>
      <c r="G62" s="26">
        <v>1761.89</v>
      </c>
      <c r="H62" s="26">
        <v>4708.13</v>
      </c>
      <c r="I62" s="26">
        <v>1979.9</v>
      </c>
      <c r="J62" s="88">
        <v>4090.57</v>
      </c>
      <c r="K62" s="93">
        <v>2588.21</v>
      </c>
    </row>
    <row r="63" spans="1:11" x14ac:dyDescent="0.2">
      <c r="A63" s="17" t="s">
        <v>104</v>
      </c>
      <c r="B63" s="21">
        <v>1004.51</v>
      </c>
      <c r="C63" s="26">
        <v>2352.5100000000002</v>
      </c>
      <c r="D63" s="26">
        <v>2199.0300000000002</v>
      </c>
      <c r="E63" s="26">
        <v>1446</v>
      </c>
      <c r="F63" s="26">
        <v>1910.31</v>
      </c>
      <c r="G63" s="26">
        <v>1561.8</v>
      </c>
      <c r="H63" s="26">
        <v>2914.34</v>
      </c>
      <c r="I63" s="26">
        <v>1273.51</v>
      </c>
      <c r="J63" s="88">
        <v>2875.98</v>
      </c>
      <c r="K63" s="93">
        <v>2123.7399999999998</v>
      </c>
    </row>
    <row r="64" spans="1:11" s="23" customFormat="1" x14ac:dyDescent="0.2">
      <c r="A64" s="22" t="s">
        <v>105</v>
      </c>
      <c r="B64" s="27"/>
      <c r="C64" s="27"/>
      <c r="D64" s="27"/>
      <c r="E64" s="27"/>
      <c r="F64" s="27"/>
      <c r="G64" s="27"/>
      <c r="H64" s="27"/>
      <c r="I64" s="27"/>
      <c r="J64" s="87"/>
      <c r="K64" s="27"/>
    </row>
    <row r="65" spans="1:12" x14ac:dyDescent="0.2">
      <c r="A65" s="15" t="s">
        <v>106</v>
      </c>
      <c r="B65" s="20">
        <v>2688.04</v>
      </c>
      <c r="C65" s="26">
        <v>9376.4599999999991</v>
      </c>
      <c r="D65" s="26">
        <v>8981.17</v>
      </c>
      <c r="E65" s="26">
        <v>3111.05</v>
      </c>
      <c r="F65" s="26">
        <v>10070.81</v>
      </c>
      <c r="G65" s="26">
        <v>6102.08</v>
      </c>
      <c r="H65" s="26">
        <v>16672.55</v>
      </c>
      <c r="I65" s="26">
        <v>4892.58</v>
      </c>
      <c r="J65" s="88">
        <v>14878.57</v>
      </c>
      <c r="K65" s="93">
        <v>8204.6200000000008</v>
      </c>
    </row>
    <row r="66" spans="1:12" x14ac:dyDescent="0.2">
      <c r="A66" s="17" t="s">
        <v>107</v>
      </c>
      <c r="B66" s="21">
        <v>1373.5</v>
      </c>
      <c r="C66" s="26">
        <v>7140.21</v>
      </c>
      <c r="D66" s="26">
        <v>7286.93</v>
      </c>
      <c r="E66" s="26">
        <v>2309.04</v>
      </c>
      <c r="F66" s="26">
        <v>6557.51</v>
      </c>
      <c r="G66" s="26">
        <v>3997.91</v>
      </c>
      <c r="H66" s="26">
        <v>8022.86</v>
      </c>
      <c r="I66" s="26">
        <v>2787.47</v>
      </c>
      <c r="J66" s="88">
        <v>10177.530000000001</v>
      </c>
      <c r="K66" s="93">
        <v>5735.08</v>
      </c>
    </row>
    <row r="67" spans="1:12" s="23" customFormat="1" x14ac:dyDescent="0.2">
      <c r="A67" s="22" t="s">
        <v>108</v>
      </c>
      <c r="B67" s="27"/>
      <c r="C67" s="27"/>
      <c r="D67" s="27"/>
      <c r="E67" s="27"/>
      <c r="F67" s="27"/>
      <c r="G67" s="27"/>
      <c r="H67" s="27"/>
      <c r="I67" s="27"/>
      <c r="J67" s="87"/>
      <c r="K67" s="27"/>
    </row>
    <row r="68" spans="1:12" x14ac:dyDescent="0.2">
      <c r="A68" s="15" t="s">
        <v>109</v>
      </c>
      <c r="B68" s="16">
        <v>237.87</v>
      </c>
      <c r="C68" s="26">
        <v>3488.91</v>
      </c>
      <c r="D68" s="26">
        <v>3848.1</v>
      </c>
      <c r="E68" s="26">
        <v>3701.98</v>
      </c>
      <c r="F68" s="26">
        <v>3789.47</v>
      </c>
      <c r="G68" s="26">
        <v>3540.42</v>
      </c>
      <c r="H68" s="26">
        <v>4277.2700000000004</v>
      </c>
      <c r="I68" s="26">
        <v>2469.91</v>
      </c>
      <c r="J68" s="88">
        <v>7952.31</v>
      </c>
      <c r="K68" s="93">
        <v>3784.29</v>
      </c>
    </row>
    <row r="69" spans="1:12" x14ac:dyDescent="0.2">
      <c r="A69" s="17" t="s">
        <v>110</v>
      </c>
      <c r="B69" s="18">
        <v>20.59</v>
      </c>
      <c r="C69" s="48">
        <v>2.31</v>
      </c>
      <c r="D69" s="48">
        <v>2.4700000000000002</v>
      </c>
      <c r="E69" s="48">
        <v>2.4900000000000002</v>
      </c>
      <c r="F69" s="48">
        <v>2.29</v>
      </c>
      <c r="G69" s="48">
        <v>2.42</v>
      </c>
      <c r="H69" s="48">
        <v>2.5499999999999998</v>
      </c>
      <c r="I69" s="48">
        <v>2.95</v>
      </c>
      <c r="J69" s="76">
        <v>1.21</v>
      </c>
      <c r="K69" s="79">
        <v>1.34</v>
      </c>
    </row>
    <row r="70" spans="1:12" x14ac:dyDescent="0.2">
      <c r="A70" s="13" t="s">
        <v>111</v>
      </c>
      <c r="B70" s="19">
        <v>341</v>
      </c>
      <c r="C70" s="24">
        <v>381</v>
      </c>
      <c r="D70" s="48" t="s">
        <v>113</v>
      </c>
      <c r="E70" s="48">
        <v>249</v>
      </c>
      <c r="F70" s="48">
        <v>169</v>
      </c>
      <c r="G70" s="48" t="s">
        <v>114</v>
      </c>
      <c r="H70" s="48">
        <v>753</v>
      </c>
      <c r="I70" s="48" t="s">
        <v>115</v>
      </c>
      <c r="J70" s="76" t="s">
        <v>116</v>
      </c>
      <c r="K70" s="79">
        <v>216</v>
      </c>
    </row>
    <row r="71" spans="1:12" x14ac:dyDescent="0.2">
      <c r="A71" s="79"/>
      <c r="B71" s="80"/>
      <c r="C71" s="79"/>
      <c r="D71" s="79"/>
      <c r="E71" s="79"/>
      <c r="F71" s="79"/>
      <c r="G71" s="79"/>
      <c r="H71" s="79"/>
      <c r="I71" s="79"/>
      <c r="J71" s="179"/>
    </row>
    <row r="72" spans="1:12" s="63" customFormat="1" ht="15" x14ac:dyDescent="0.25">
      <c r="A72" s="67" t="s">
        <v>180</v>
      </c>
      <c r="B72" s="64"/>
      <c r="J72" s="89"/>
      <c r="L72" s="92"/>
    </row>
    <row r="73" spans="1:12" x14ac:dyDescent="0.2">
      <c r="A73" s="65" t="s">
        <v>181</v>
      </c>
      <c r="B73" s="66">
        <f t="shared" ref="B73:J73" si="0">B3/2</f>
        <v>682.745</v>
      </c>
      <c r="C73" s="66">
        <f t="shared" si="0"/>
        <v>1768.48</v>
      </c>
      <c r="D73" s="66">
        <f t="shared" si="0"/>
        <v>1760.0050000000001</v>
      </c>
      <c r="E73" s="66">
        <f t="shared" si="0"/>
        <v>1698.64</v>
      </c>
      <c r="F73" s="66">
        <f t="shared" si="0"/>
        <v>2280.65</v>
      </c>
      <c r="G73" s="66">
        <f t="shared" si="0"/>
        <v>2236.145</v>
      </c>
      <c r="H73" s="66">
        <f t="shared" si="0"/>
        <v>2059.6849999999999</v>
      </c>
      <c r="I73" s="66">
        <f t="shared" si="0"/>
        <v>1486.9749999999999</v>
      </c>
      <c r="J73" s="90">
        <f t="shared" si="0"/>
        <v>3150.4749999999999</v>
      </c>
      <c r="K73" s="66">
        <f t="shared" ref="K73" si="1">K3/2</f>
        <v>2067.9549999999999</v>
      </c>
    </row>
    <row r="74" spans="1:12" x14ac:dyDescent="0.2">
      <c r="A74" s="65" t="s">
        <v>183</v>
      </c>
      <c r="B74" s="66">
        <f t="shared" ref="B74:J74" si="2">B73+B60</f>
        <v>1216.135</v>
      </c>
      <c r="C74" s="68">
        <f t="shared" si="2"/>
        <v>3450.1800000000003</v>
      </c>
      <c r="D74" s="66">
        <f t="shared" si="2"/>
        <v>3369.0050000000001</v>
      </c>
      <c r="E74" s="66">
        <f t="shared" si="2"/>
        <v>2730.41</v>
      </c>
      <c r="F74" s="66">
        <f t="shared" si="2"/>
        <v>3825.91</v>
      </c>
      <c r="G74" s="66">
        <f t="shared" si="2"/>
        <v>3358.3649999999998</v>
      </c>
      <c r="H74" s="66">
        <f t="shared" si="2"/>
        <v>4413.0949999999993</v>
      </c>
      <c r="I74" s="66">
        <f t="shared" si="2"/>
        <v>2513.2049999999999</v>
      </c>
      <c r="J74" s="90">
        <f t="shared" si="2"/>
        <v>5322.6849999999995</v>
      </c>
      <c r="K74" s="66">
        <f t="shared" ref="K74" si="3">K73+K60</f>
        <v>3739.1549999999997</v>
      </c>
    </row>
    <row r="75" spans="1:12" x14ac:dyDescent="0.2">
      <c r="A75" s="169" t="s">
        <v>182</v>
      </c>
      <c r="B75" s="66">
        <f t="shared" ref="B75:J75" si="4">B68-B74</f>
        <v>-978.26499999999999</v>
      </c>
      <c r="C75" s="66">
        <f t="shared" si="4"/>
        <v>38.729999999999563</v>
      </c>
      <c r="D75" s="66">
        <f t="shared" si="4"/>
        <v>479.0949999999998</v>
      </c>
      <c r="E75" s="66">
        <f t="shared" si="4"/>
        <v>971.57000000000016</v>
      </c>
      <c r="F75" s="66">
        <f t="shared" si="4"/>
        <v>-36.440000000000055</v>
      </c>
      <c r="G75" s="66">
        <f t="shared" si="4"/>
        <v>182.05500000000029</v>
      </c>
      <c r="H75" s="66">
        <f t="shared" si="4"/>
        <v>-135.82499999999891</v>
      </c>
      <c r="I75" s="66">
        <f t="shared" si="4"/>
        <v>-43.295000000000073</v>
      </c>
      <c r="J75" s="90">
        <f t="shared" si="4"/>
        <v>2629.6250000000009</v>
      </c>
      <c r="K75" s="66">
        <f t="shared" ref="K75" si="5">K68-K74</f>
        <v>45.135000000000218</v>
      </c>
    </row>
    <row r="76" spans="1:12" s="23" customFormat="1" ht="26.25" customHeight="1" x14ac:dyDescent="0.2">
      <c r="A76" s="168" t="s">
        <v>204</v>
      </c>
      <c r="B76" s="27"/>
      <c r="C76" s="27"/>
      <c r="D76" s="27"/>
      <c r="E76" s="27"/>
      <c r="F76" s="27"/>
      <c r="G76" s="27"/>
      <c r="H76" s="27"/>
      <c r="I76" s="27"/>
      <c r="J76" s="87"/>
      <c r="K76" s="27"/>
    </row>
    <row r="77" spans="1:12" s="170" customFormat="1" ht="18" x14ac:dyDescent="0.25">
      <c r="A77" s="176" t="s">
        <v>197</v>
      </c>
      <c r="B77" s="171"/>
      <c r="J77" s="180"/>
      <c r="K77" s="172"/>
      <c r="L77" s="178"/>
    </row>
    <row r="78" spans="1:12" x14ac:dyDescent="0.2">
      <c r="A78" s="65" t="s">
        <v>201</v>
      </c>
      <c r="B78" s="66"/>
      <c r="C78" s="165">
        <f>(100% - Tax!J11) * ('Works and Salarys'!C6)</f>
        <v>43438.048500000004</v>
      </c>
      <c r="D78" s="165">
        <f>(100% - Tax!J18) * ('Works and Salarys'!D6)</f>
        <v>40191.110999999997</v>
      </c>
      <c r="E78" s="165">
        <f>(100% - Tax!J22) * ('Works and Salarys'!E6)</f>
        <v>39205.645000000004</v>
      </c>
      <c r="F78" s="165">
        <f>(100% - Tax!J30) * ('Works and Salarys'!F6)</f>
        <v>47560.457999999999</v>
      </c>
      <c r="G78" s="165">
        <f>(100% - Tax!J29) * ('Works and Salarys'!G6)</f>
        <v>48218.400000000001</v>
      </c>
      <c r="H78" s="165">
        <f>(100% - Tax!J34) * ('Works and Salarys'!H6)</f>
        <v>43010.400000000001</v>
      </c>
      <c r="I78" s="165">
        <f>(100% - Tax!J34) * ('Works and Salarys'!I6)</f>
        <v>37918.400000000001</v>
      </c>
      <c r="J78" s="181">
        <f>(100% - Tax!J41) * ('Works and Salarys'!J6)</f>
        <v>79763.520000000004</v>
      </c>
      <c r="K78" s="165">
        <f>(100% - Tax!J53) * ('Works and Salarys'!K6)</f>
        <v>44498.269500000002</v>
      </c>
    </row>
    <row r="79" spans="1:12" x14ac:dyDescent="0.2">
      <c r="A79" s="65" t="s">
        <v>202</v>
      </c>
      <c r="B79" s="66"/>
      <c r="C79" s="165">
        <f>C78/12</f>
        <v>3619.8373750000005</v>
      </c>
      <c r="D79" s="165">
        <f t="shared" ref="D79:K79" si="6">D78/12</f>
        <v>3349.2592499999996</v>
      </c>
      <c r="E79" s="165">
        <f t="shared" si="6"/>
        <v>3267.1370833333335</v>
      </c>
      <c r="F79" s="165">
        <f t="shared" si="6"/>
        <v>3963.3714999999997</v>
      </c>
      <c r="G79" s="165">
        <f t="shared" si="6"/>
        <v>4018.2000000000003</v>
      </c>
      <c r="H79" s="165">
        <f t="shared" si="6"/>
        <v>3584.2000000000003</v>
      </c>
      <c r="I79" s="165">
        <f t="shared" si="6"/>
        <v>3159.8666666666668</v>
      </c>
      <c r="J79" s="181">
        <f t="shared" si="6"/>
        <v>6646.96</v>
      </c>
      <c r="K79" s="165">
        <f t="shared" si="6"/>
        <v>3708.1891250000003</v>
      </c>
    </row>
    <row r="80" spans="1:12" s="175" customFormat="1" ht="18" x14ac:dyDescent="0.25">
      <c r="A80" s="177" t="s">
        <v>198</v>
      </c>
      <c r="B80" s="173"/>
      <c r="C80" s="174"/>
      <c r="D80" s="174"/>
      <c r="E80" s="174"/>
      <c r="F80" s="174"/>
      <c r="G80" s="174"/>
      <c r="H80" s="174"/>
      <c r="I80" s="174"/>
      <c r="J80" s="182"/>
      <c r="K80" s="174"/>
    </row>
    <row r="81" spans="1:12" x14ac:dyDescent="0.2">
      <c r="A81" s="65" t="s">
        <v>201</v>
      </c>
      <c r="B81" s="66"/>
      <c r="C81" s="165">
        <f>(100% - Tax!J11) * ('Works and Salarys'!C14)</f>
        <v>32849.712</v>
      </c>
      <c r="D81" s="165">
        <f>(100% - Tax!J18) * ('Works and Salarys'!D14)</f>
        <v>31558.732</v>
      </c>
      <c r="E81" s="165">
        <f>(100% - Tax!J22) * ('Works and Salarys'!E14)</f>
        <v>30019.135000000002</v>
      </c>
      <c r="F81" s="165">
        <f>(100% - Tax!J29) * ('Works and Salarys'!F14)</f>
        <v>40796.94</v>
      </c>
      <c r="G81" s="165">
        <f>(100% - Tax!J29) * ('Works and Salarys'!G14)</f>
        <v>36815.74</v>
      </c>
      <c r="H81" s="165">
        <f>(100% - Tax!J34) * ('Works and Salarys'!H14)</f>
        <v>43597.600000000006</v>
      </c>
      <c r="I81" s="165">
        <f>(100% - Tax!J34) * ('Works and Salarys'!I14)</f>
        <v>32120</v>
      </c>
      <c r="J81" s="181">
        <f>(100% - Tax!J40) * ('Works and Salarys'!J14)</f>
        <v>69566.459999999992</v>
      </c>
      <c r="K81" s="165">
        <f>(100% - Tax!J53) * ('Works and Salarys'!K14)</f>
        <v>39558.209799999997</v>
      </c>
    </row>
    <row r="82" spans="1:12" x14ac:dyDescent="0.2">
      <c r="A82" s="65" t="s">
        <v>202</v>
      </c>
      <c r="B82" s="66"/>
      <c r="C82" s="65">
        <f>C81/12</f>
        <v>2737.4760000000001</v>
      </c>
      <c r="D82" s="65">
        <f t="shared" ref="D82:K82" si="7">D81/12</f>
        <v>2629.8943333333332</v>
      </c>
      <c r="E82" s="65">
        <f t="shared" si="7"/>
        <v>2501.5945833333335</v>
      </c>
      <c r="F82" s="65">
        <f t="shared" si="7"/>
        <v>3399.7450000000003</v>
      </c>
      <c r="G82" s="65">
        <f t="shared" si="7"/>
        <v>3067.978333333333</v>
      </c>
      <c r="H82" s="65">
        <f t="shared" si="7"/>
        <v>3633.1333333333337</v>
      </c>
      <c r="I82" s="65">
        <f t="shared" si="7"/>
        <v>2676.6666666666665</v>
      </c>
      <c r="J82" s="91">
        <f t="shared" si="7"/>
        <v>5797.204999999999</v>
      </c>
      <c r="K82" s="65">
        <f t="shared" si="7"/>
        <v>3296.5174833333331</v>
      </c>
    </row>
    <row r="83" spans="1:12" s="175" customFormat="1" ht="18" x14ac:dyDescent="0.25">
      <c r="A83" s="177" t="s">
        <v>209</v>
      </c>
      <c r="B83" s="173"/>
      <c r="C83" s="174"/>
      <c r="D83" s="174"/>
      <c r="E83" s="174"/>
      <c r="F83" s="174"/>
      <c r="G83" s="174"/>
      <c r="H83" s="174"/>
      <c r="I83" s="174"/>
      <c r="J83" s="182"/>
      <c r="K83" s="174"/>
    </row>
    <row r="84" spans="1:12" x14ac:dyDescent="0.2">
      <c r="A84" s="65" t="s">
        <v>199</v>
      </c>
      <c r="B84" s="65"/>
      <c r="C84" s="165">
        <f>C79+C82</f>
        <v>6357.3133750000006</v>
      </c>
      <c r="D84" s="165">
        <f t="shared" ref="D84:K84" si="8">D79+D82</f>
        <v>5979.1535833333328</v>
      </c>
      <c r="E84" s="165">
        <f t="shared" si="8"/>
        <v>5768.7316666666666</v>
      </c>
      <c r="F84" s="165">
        <f t="shared" si="8"/>
        <v>7363.1165000000001</v>
      </c>
      <c r="G84" s="165">
        <f t="shared" si="8"/>
        <v>7086.1783333333333</v>
      </c>
      <c r="H84" s="165">
        <f t="shared" si="8"/>
        <v>7217.3333333333339</v>
      </c>
      <c r="I84" s="165">
        <f t="shared" si="8"/>
        <v>5836.5333333333328</v>
      </c>
      <c r="J84" s="181">
        <f t="shared" si="8"/>
        <v>12444.164999999999</v>
      </c>
      <c r="K84" s="165">
        <f t="shared" si="8"/>
        <v>7004.7066083333339</v>
      </c>
    </row>
    <row r="85" spans="1:12" x14ac:dyDescent="0.2">
      <c r="A85" s="65" t="s">
        <v>200</v>
      </c>
      <c r="B85" s="65"/>
      <c r="C85" s="165">
        <f>C78+C81</f>
        <v>76287.760500000004</v>
      </c>
      <c r="D85" s="165">
        <f t="shared" ref="D85:K85" si="9">D78+D81</f>
        <v>71749.842999999993</v>
      </c>
      <c r="E85" s="165">
        <f t="shared" si="9"/>
        <v>69224.78</v>
      </c>
      <c r="F85" s="165">
        <f t="shared" si="9"/>
        <v>88357.398000000001</v>
      </c>
      <c r="G85" s="165">
        <f t="shared" si="9"/>
        <v>85034.14</v>
      </c>
      <c r="H85" s="165">
        <f t="shared" si="9"/>
        <v>86608</v>
      </c>
      <c r="I85" s="165">
        <f t="shared" si="9"/>
        <v>70038.399999999994</v>
      </c>
      <c r="J85" s="181">
        <f t="shared" si="9"/>
        <v>149329.97999999998</v>
      </c>
      <c r="K85" s="165">
        <f t="shared" si="9"/>
        <v>84056.479300000006</v>
      </c>
    </row>
    <row r="86" spans="1:12" x14ac:dyDescent="0.2">
      <c r="A86" s="65" t="s">
        <v>206</v>
      </c>
      <c r="B86" s="65"/>
      <c r="C86" s="165">
        <f>C84-C74</f>
        <v>2907.1333750000003</v>
      </c>
      <c r="D86" s="165">
        <f t="shared" ref="D86:K86" si="10">D84-D74</f>
        <v>2610.1485833333327</v>
      </c>
      <c r="E86" s="165">
        <f t="shared" si="10"/>
        <v>3038.3216666666667</v>
      </c>
      <c r="F86" s="165">
        <f t="shared" si="10"/>
        <v>3537.2065000000002</v>
      </c>
      <c r="G86" s="165">
        <f t="shared" si="10"/>
        <v>3727.8133333333335</v>
      </c>
      <c r="H86" s="165">
        <f t="shared" si="10"/>
        <v>2804.2383333333346</v>
      </c>
      <c r="I86" s="165">
        <f t="shared" si="10"/>
        <v>3323.3283333333329</v>
      </c>
      <c r="J86" s="181">
        <f t="shared" si="10"/>
        <v>7121.48</v>
      </c>
      <c r="K86" s="165">
        <f t="shared" si="10"/>
        <v>3265.5516083333341</v>
      </c>
    </row>
    <row r="87" spans="1:12" x14ac:dyDescent="0.2">
      <c r="A87" s="65" t="s">
        <v>203</v>
      </c>
      <c r="B87" s="65"/>
      <c r="C87" s="167">
        <f>C86*12</f>
        <v>34885.6005</v>
      </c>
      <c r="D87" s="167">
        <f t="shared" ref="D87:K87" si="11">D86*12</f>
        <v>31321.782999999992</v>
      </c>
      <c r="E87" s="167">
        <f t="shared" si="11"/>
        <v>36459.86</v>
      </c>
      <c r="F87" s="167">
        <f t="shared" si="11"/>
        <v>42446.478000000003</v>
      </c>
      <c r="G87" s="167">
        <f t="shared" si="11"/>
        <v>44733.760000000002</v>
      </c>
      <c r="H87" s="167">
        <f t="shared" si="11"/>
        <v>33650.860000000015</v>
      </c>
      <c r="I87" s="167">
        <f t="shared" si="11"/>
        <v>39879.939999999995</v>
      </c>
      <c r="J87" s="183">
        <f t="shared" si="11"/>
        <v>85457.76</v>
      </c>
      <c r="K87" s="167">
        <f t="shared" si="11"/>
        <v>39186.619300000006</v>
      </c>
    </row>
    <row r="88" spans="1:12" s="23" customFormat="1" ht="26.25" customHeight="1" x14ac:dyDescent="0.2">
      <c r="A88" s="168" t="s">
        <v>205</v>
      </c>
      <c r="B88" s="27"/>
      <c r="C88" s="27"/>
      <c r="D88" s="27"/>
      <c r="E88" s="27"/>
      <c r="F88" s="27"/>
      <c r="G88" s="27"/>
      <c r="H88" s="27"/>
      <c r="I88" s="27"/>
      <c r="J88" s="87"/>
      <c r="K88" s="27"/>
    </row>
    <row r="89" spans="1:12" s="170" customFormat="1" ht="18" x14ac:dyDescent="0.25">
      <c r="A89" s="177" t="s">
        <v>197</v>
      </c>
      <c r="B89" s="173"/>
      <c r="C89" s="172"/>
      <c r="D89" s="172"/>
      <c r="E89" s="172"/>
      <c r="F89" s="172"/>
      <c r="G89" s="172"/>
      <c r="H89" s="172"/>
      <c r="I89" s="172"/>
      <c r="J89" s="184"/>
      <c r="K89" s="172"/>
      <c r="L89" s="178"/>
    </row>
    <row r="90" spans="1:12" x14ac:dyDescent="0.2">
      <c r="A90" s="65" t="s">
        <v>201</v>
      </c>
      <c r="B90" s="65"/>
      <c r="C90" s="165">
        <f>(100% - Tax!J14) * ('Works and Salarys'!C4)</f>
        <v>62486.424000000006</v>
      </c>
      <c r="D90" s="165">
        <f>(100% - Tax!J20) * ('Works and Salarys'!D4)</f>
        <v>66938.647466666662</v>
      </c>
      <c r="E90" s="165">
        <f>(100% - Tax!J23) * ('Works and Salarys'!E4)</f>
        <v>65373.88</v>
      </c>
      <c r="F90" s="165">
        <f>(100% -Tax!J30) * ('Works and Salarys'!F4)</f>
        <v>67266.688000000009</v>
      </c>
      <c r="G90" s="165">
        <f>(100% -Tax!J30) * ('Works and Salarys'!G4)</f>
        <v>59535.360000000001</v>
      </c>
      <c r="H90" s="165">
        <f>(100% - Tax!J35) * ('Works and Salarys'!H4)</f>
        <v>62078.399999999994</v>
      </c>
      <c r="I90" s="165">
        <f>(100% - Tax!J35) * ('Works and Salarys'!I4)</f>
        <v>44689.799999999996</v>
      </c>
      <c r="J90" s="181">
        <f>(100% -Tax!J43) * ('Works and Salarys'!J4)</f>
        <v>110771.48</v>
      </c>
      <c r="K90" s="165">
        <f>(100% - Tax!J54) * ('Works and Salarys'!K4)</f>
        <v>47819.422000000006</v>
      </c>
    </row>
    <row r="91" spans="1:12" x14ac:dyDescent="0.2">
      <c r="A91" s="65" t="s">
        <v>202</v>
      </c>
      <c r="B91" s="65"/>
      <c r="C91" s="65">
        <f>C90/12</f>
        <v>5207.2020000000002</v>
      </c>
      <c r="D91" s="65">
        <f t="shared" ref="D91:K91" si="12">D90/12</f>
        <v>5578.2206222222221</v>
      </c>
      <c r="E91" s="65">
        <f t="shared" si="12"/>
        <v>5447.8233333333328</v>
      </c>
      <c r="F91" s="65">
        <f t="shared" si="12"/>
        <v>5605.5573333333341</v>
      </c>
      <c r="G91" s="65">
        <f t="shared" si="12"/>
        <v>4961.28</v>
      </c>
      <c r="H91" s="65">
        <f t="shared" si="12"/>
        <v>5173.2</v>
      </c>
      <c r="I91" s="65">
        <f t="shared" si="12"/>
        <v>3724.1499999999996</v>
      </c>
      <c r="J91" s="91">
        <f t="shared" si="12"/>
        <v>9230.9566666666669</v>
      </c>
      <c r="K91" s="65">
        <f t="shared" si="12"/>
        <v>3984.951833333334</v>
      </c>
    </row>
    <row r="92" spans="1:12" s="175" customFormat="1" ht="18" x14ac:dyDescent="0.25">
      <c r="A92" s="177" t="s">
        <v>198</v>
      </c>
      <c r="B92" s="173"/>
      <c r="C92" s="174"/>
      <c r="D92" s="174"/>
      <c r="E92" s="174"/>
      <c r="F92" s="174"/>
      <c r="G92" s="174"/>
      <c r="H92" s="174"/>
      <c r="I92" s="174"/>
      <c r="J92" s="182"/>
      <c r="K92" s="174"/>
    </row>
    <row r="93" spans="1:12" x14ac:dyDescent="0.2">
      <c r="A93" s="65" t="s">
        <v>201</v>
      </c>
      <c r="B93" s="65"/>
      <c r="C93" s="165">
        <f>(100% - Tax!J11) * ('Works and Salarys'!C12)</f>
        <v>45225.012000000002</v>
      </c>
      <c r="D93" s="165">
        <f>(100% - Tax!J18) * ('Works and Salarys'!D12)</f>
        <v>43446.985000000001</v>
      </c>
      <c r="E93" s="165">
        <f>(100% - Tax!J22) * ('Works and Salarys'!E12)</f>
        <v>41327.480000000003</v>
      </c>
      <c r="F93" s="165">
        <f>(100% - Tax!J30) * ('Works and Salarys'!F12)</f>
        <v>49030.754000000001</v>
      </c>
      <c r="G93" s="165">
        <f>(100% - Tax!J29) * ('Works and Salarys'!G12)</f>
        <v>50684.08</v>
      </c>
      <c r="H93" s="165">
        <f>(100% - Tax!J35) * ('Works and Salarys'!H12)</f>
        <v>45016.799999999996</v>
      </c>
      <c r="I93" s="165">
        <f>(100% - Tax!J34) * ('Works and Salarys'!I12)</f>
        <v>44221.600000000006</v>
      </c>
      <c r="J93" s="181">
        <f>(100% -Tax!J42) * ('Works and Salarys'!J12)</f>
        <v>94060.45</v>
      </c>
      <c r="K93" s="165">
        <f>(100% - Tax!J54) * ('Works and Salarys'!K12)</f>
        <v>41379.296000000002</v>
      </c>
    </row>
    <row r="94" spans="1:12" x14ac:dyDescent="0.2">
      <c r="A94" s="65" t="s">
        <v>202</v>
      </c>
      <c r="B94" s="65"/>
      <c r="C94" s="165">
        <f>C93/12</f>
        <v>3768.7510000000002</v>
      </c>
      <c r="D94" s="165">
        <f t="shared" ref="D94:K94" si="13">D93/12</f>
        <v>3620.5820833333332</v>
      </c>
      <c r="E94" s="165">
        <f t="shared" si="13"/>
        <v>3443.9566666666669</v>
      </c>
      <c r="F94" s="165">
        <f t="shared" si="13"/>
        <v>4085.8961666666669</v>
      </c>
      <c r="G94" s="165">
        <f t="shared" si="13"/>
        <v>4223.6733333333332</v>
      </c>
      <c r="H94" s="165">
        <f t="shared" si="13"/>
        <v>3751.3999999999996</v>
      </c>
      <c r="I94" s="165">
        <f t="shared" si="13"/>
        <v>3685.1333333333337</v>
      </c>
      <c r="J94" s="181">
        <f t="shared" si="13"/>
        <v>7838.3708333333334</v>
      </c>
      <c r="K94" s="165">
        <f t="shared" si="13"/>
        <v>3448.2746666666667</v>
      </c>
    </row>
    <row r="95" spans="1:12" s="175" customFormat="1" ht="18" x14ac:dyDescent="0.25">
      <c r="A95" s="177" t="s">
        <v>209</v>
      </c>
      <c r="B95" s="173"/>
      <c r="C95" s="174"/>
      <c r="D95" s="174"/>
      <c r="E95" s="174"/>
      <c r="F95" s="174"/>
      <c r="G95" s="174"/>
      <c r="H95" s="174"/>
      <c r="I95" s="174"/>
      <c r="J95" s="182"/>
      <c r="K95" s="174"/>
    </row>
    <row r="96" spans="1:12" x14ac:dyDescent="0.2">
      <c r="A96" s="65" t="s">
        <v>207</v>
      </c>
      <c r="B96" s="65"/>
      <c r="C96" s="165">
        <f>C91+C94</f>
        <v>8975.9530000000013</v>
      </c>
      <c r="D96" s="165">
        <f t="shared" ref="D96:K96" si="14">D91+D94</f>
        <v>9198.8027055555558</v>
      </c>
      <c r="E96" s="165">
        <f t="shared" si="14"/>
        <v>8891.7799999999988</v>
      </c>
      <c r="F96" s="165">
        <f t="shared" si="14"/>
        <v>9691.4535000000014</v>
      </c>
      <c r="G96" s="165">
        <f t="shared" si="14"/>
        <v>9184.9533333333329</v>
      </c>
      <c r="H96" s="165">
        <f t="shared" si="14"/>
        <v>8924.5999999999985</v>
      </c>
      <c r="I96" s="165">
        <f t="shared" si="14"/>
        <v>7409.2833333333328</v>
      </c>
      <c r="J96" s="181">
        <f t="shared" si="14"/>
        <v>17069.327499999999</v>
      </c>
      <c r="K96" s="165">
        <f t="shared" si="14"/>
        <v>7433.2265000000007</v>
      </c>
    </row>
    <row r="97" spans="1:11" x14ac:dyDescent="0.2">
      <c r="A97" s="65" t="s">
        <v>208</v>
      </c>
      <c r="B97" s="65"/>
      <c r="C97" s="167">
        <f>C90+C93</f>
        <v>107711.43600000002</v>
      </c>
      <c r="D97" s="167">
        <f t="shared" ref="D97:K97" si="15">D90+D93</f>
        <v>110385.63246666666</v>
      </c>
      <c r="E97" s="167">
        <f t="shared" si="15"/>
        <v>106701.36</v>
      </c>
      <c r="F97" s="167">
        <f t="shared" si="15"/>
        <v>116297.44200000001</v>
      </c>
      <c r="G97" s="167">
        <f t="shared" si="15"/>
        <v>110219.44</v>
      </c>
      <c r="H97" s="167">
        <f t="shared" si="15"/>
        <v>107095.19999999998</v>
      </c>
      <c r="I97" s="167">
        <f t="shared" si="15"/>
        <v>88911.4</v>
      </c>
      <c r="J97" s="183">
        <f t="shared" si="15"/>
        <v>204831.93</v>
      </c>
      <c r="K97" s="167">
        <f t="shared" si="15"/>
        <v>89198.718000000008</v>
      </c>
    </row>
    <row r="98" spans="1:11" x14ac:dyDescent="0.2">
      <c r="A98" s="65" t="s">
        <v>206</v>
      </c>
      <c r="B98" s="65"/>
      <c r="C98" s="165">
        <f>C96-C74</f>
        <v>5525.773000000001</v>
      </c>
      <c r="D98" s="165">
        <f t="shared" ref="D98:K98" si="16">D96-D74</f>
        <v>5829.7977055555557</v>
      </c>
      <c r="E98" s="165">
        <f t="shared" si="16"/>
        <v>6161.369999999999</v>
      </c>
      <c r="F98" s="165">
        <f t="shared" si="16"/>
        <v>5865.5435000000016</v>
      </c>
      <c r="G98" s="165">
        <f t="shared" si="16"/>
        <v>5826.5883333333331</v>
      </c>
      <c r="H98" s="165">
        <f t="shared" si="16"/>
        <v>4511.5049999999992</v>
      </c>
      <c r="I98" s="165">
        <f t="shared" si="16"/>
        <v>4896.0783333333329</v>
      </c>
      <c r="J98" s="181">
        <f t="shared" si="16"/>
        <v>11746.6425</v>
      </c>
      <c r="K98" s="165">
        <f t="shared" si="16"/>
        <v>3694.0715000000009</v>
      </c>
    </row>
    <row r="99" spans="1:11" x14ac:dyDescent="0.2">
      <c r="A99" s="65" t="s">
        <v>203</v>
      </c>
      <c r="B99" s="65"/>
      <c r="C99" s="167">
        <f>C98*12</f>
        <v>66309.276000000013</v>
      </c>
      <c r="D99" s="167">
        <f t="shared" ref="D99:K99" si="17">D98*12</f>
        <v>69957.572466666665</v>
      </c>
      <c r="E99" s="167">
        <f t="shared" si="17"/>
        <v>73936.439999999988</v>
      </c>
      <c r="F99" s="167">
        <f t="shared" si="17"/>
        <v>70386.522000000026</v>
      </c>
      <c r="G99" s="167">
        <f t="shared" si="17"/>
        <v>69919.06</v>
      </c>
      <c r="H99" s="167">
        <f t="shared" si="17"/>
        <v>54138.05999999999</v>
      </c>
      <c r="I99" s="167">
        <f t="shared" si="17"/>
        <v>58752.939999999995</v>
      </c>
      <c r="J99" s="183">
        <f t="shared" si="17"/>
        <v>140959.71</v>
      </c>
      <c r="K99" s="167">
        <f t="shared" si="17"/>
        <v>44328.858000000007</v>
      </c>
    </row>
    <row r="100" spans="1:11" s="175" customFormat="1" ht="18" x14ac:dyDescent="0.25">
      <c r="A100" s="177" t="s">
        <v>210</v>
      </c>
      <c r="B100" s="173"/>
      <c r="C100" s="174"/>
      <c r="D100" s="174"/>
      <c r="E100" s="174"/>
      <c r="F100" s="174"/>
      <c r="G100" s="174"/>
      <c r="H100" s="174"/>
      <c r="I100" s="174"/>
      <c r="J100" s="182"/>
      <c r="K100" s="174"/>
    </row>
    <row r="101" spans="1:11" x14ac:dyDescent="0.2">
      <c r="A101" s="65" t="s">
        <v>211</v>
      </c>
      <c r="B101" s="65"/>
      <c r="C101" s="167">
        <f>(C87-10000)*4</f>
        <v>99542.402000000002</v>
      </c>
      <c r="D101" s="167">
        <f t="shared" ref="D101:K101" si="18">(D87-10000)*4</f>
        <v>85287.131999999969</v>
      </c>
      <c r="E101" s="167">
        <f t="shared" si="18"/>
        <v>105839.44</v>
      </c>
      <c r="F101" s="167">
        <f t="shared" si="18"/>
        <v>129785.91200000001</v>
      </c>
      <c r="G101" s="167">
        <f t="shared" si="18"/>
        <v>138935.04000000001</v>
      </c>
      <c r="H101" s="167">
        <f t="shared" si="18"/>
        <v>94603.440000000061</v>
      </c>
      <c r="I101" s="167">
        <f t="shared" si="18"/>
        <v>119519.75999999998</v>
      </c>
      <c r="J101" s="167">
        <f t="shared" si="18"/>
        <v>301831.03999999998</v>
      </c>
      <c r="K101" s="167">
        <f t="shared" si="18"/>
        <v>116746.47720000002</v>
      </c>
    </row>
    <row r="102" spans="1:11" x14ac:dyDescent="0.2">
      <c r="A102" s="65" t="s">
        <v>213</v>
      </c>
      <c r="B102" s="65"/>
      <c r="C102" s="167">
        <f>C101*5</f>
        <v>497712.01</v>
      </c>
      <c r="D102" s="167">
        <f t="shared" ref="D102:K102" si="19">D101*5</f>
        <v>426435.65999999986</v>
      </c>
      <c r="E102" s="167">
        <f t="shared" si="19"/>
        <v>529197.19999999995</v>
      </c>
      <c r="F102" s="167">
        <f t="shared" si="19"/>
        <v>648929.56000000006</v>
      </c>
      <c r="G102" s="167">
        <f t="shared" si="19"/>
        <v>694675.20000000007</v>
      </c>
      <c r="H102" s="167">
        <f t="shared" si="19"/>
        <v>473017.2000000003</v>
      </c>
      <c r="I102" s="167">
        <f t="shared" si="19"/>
        <v>597598.79999999993</v>
      </c>
      <c r="J102" s="167">
        <f t="shared" si="19"/>
        <v>1509155.2</v>
      </c>
      <c r="K102" s="167">
        <f t="shared" si="19"/>
        <v>583732.38600000017</v>
      </c>
    </row>
    <row r="103" spans="1:11" x14ac:dyDescent="0.2">
      <c r="A103" s="65" t="s">
        <v>214</v>
      </c>
      <c r="B103" s="65"/>
      <c r="C103" s="167">
        <f>C102/C65</f>
        <v>53.081014583328894</v>
      </c>
      <c r="D103" s="167">
        <f t="shared" ref="D103:K103" si="20">D102/D65</f>
        <v>47.481080972746298</v>
      </c>
      <c r="E103" s="167">
        <f t="shared" si="20"/>
        <v>170.10244129795404</v>
      </c>
      <c r="F103" s="167">
        <f t="shared" si="20"/>
        <v>64.436679869841655</v>
      </c>
      <c r="G103" s="167">
        <f t="shared" si="20"/>
        <v>113.84236194871258</v>
      </c>
      <c r="H103" s="167">
        <f t="shared" si="20"/>
        <v>28.371017030988082</v>
      </c>
      <c r="I103" s="167">
        <f t="shared" si="20"/>
        <v>122.14389953766722</v>
      </c>
      <c r="J103" s="167">
        <f t="shared" si="20"/>
        <v>101.43146821233492</v>
      </c>
      <c r="K103" s="167">
        <f t="shared" si="20"/>
        <v>71.146791198129847</v>
      </c>
    </row>
    <row r="104" spans="1:11" x14ac:dyDescent="0.2">
      <c r="A104" s="65" t="s">
        <v>212</v>
      </c>
      <c r="B104" s="65"/>
      <c r="C104" s="167">
        <f>(C99-10000)*4</f>
        <v>225237.10400000005</v>
      </c>
      <c r="D104" s="167">
        <f t="shared" ref="D104:K104" si="21">(D99-10000)*4</f>
        <v>239830.28986666666</v>
      </c>
      <c r="E104" s="167">
        <f t="shared" si="21"/>
        <v>255745.75999999995</v>
      </c>
      <c r="F104" s="167">
        <f t="shared" si="21"/>
        <v>241546.08800000011</v>
      </c>
      <c r="G104" s="167">
        <f t="shared" si="21"/>
        <v>239676.24</v>
      </c>
      <c r="H104" s="167">
        <f t="shared" si="21"/>
        <v>176552.23999999996</v>
      </c>
      <c r="I104" s="167">
        <f t="shared" si="21"/>
        <v>195011.75999999998</v>
      </c>
      <c r="J104" s="167">
        <f t="shared" si="21"/>
        <v>523838.83999999997</v>
      </c>
      <c r="K104" s="167">
        <f t="shared" si="21"/>
        <v>137315.43200000003</v>
      </c>
    </row>
    <row r="105" spans="1:11" x14ac:dyDescent="0.2">
      <c r="A105" s="65" t="s">
        <v>213</v>
      </c>
      <c r="B105" s="65"/>
      <c r="C105" s="167">
        <f>C104*5</f>
        <v>1126185.5200000003</v>
      </c>
      <c r="D105" s="167">
        <f t="shared" ref="D105:K105" si="22">D104*5</f>
        <v>1199151.4493333334</v>
      </c>
      <c r="E105" s="167">
        <f t="shared" si="22"/>
        <v>1278728.7999999998</v>
      </c>
      <c r="F105" s="167">
        <f t="shared" si="22"/>
        <v>1207730.4400000004</v>
      </c>
      <c r="G105" s="167">
        <f t="shared" si="22"/>
        <v>1198381.2</v>
      </c>
      <c r="H105" s="167">
        <f t="shared" si="22"/>
        <v>882761.19999999984</v>
      </c>
      <c r="I105" s="167">
        <f t="shared" si="22"/>
        <v>975058.79999999993</v>
      </c>
      <c r="J105" s="167">
        <f t="shared" si="22"/>
        <v>2619194.1999999997</v>
      </c>
      <c r="K105" s="167">
        <f t="shared" si="22"/>
        <v>686577.16000000015</v>
      </c>
    </row>
    <row r="106" spans="1:11" x14ac:dyDescent="0.2">
      <c r="A106" s="65" t="s">
        <v>214</v>
      </c>
      <c r="B106" s="65"/>
      <c r="C106" s="167">
        <f>C105/C65</f>
        <v>120.10775068629316</v>
      </c>
      <c r="D106" s="167">
        <f t="shared" ref="D106:K106" si="23">D105/D65</f>
        <v>133.51840008966909</v>
      </c>
      <c r="E106" s="167">
        <f t="shared" si="23"/>
        <v>411.02804519374479</v>
      </c>
      <c r="F106" s="167">
        <f t="shared" si="23"/>
        <v>119.92386312521043</v>
      </c>
      <c r="G106" s="167">
        <f t="shared" si="23"/>
        <v>196.38896900728932</v>
      </c>
      <c r="H106" s="167">
        <f t="shared" si="23"/>
        <v>52.946981715454434</v>
      </c>
      <c r="I106" s="167">
        <f t="shared" si="23"/>
        <v>199.29337895343559</v>
      </c>
      <c r="J106" s="167">
        <f t="shared" si="23"/>
        <v>176.03803322496717</v>
      </c>
      <c r="K106" s="167">
        <f t="shared" si="23"/>
        <v>83.681774414902833</v>
      </c>
    </row>
  </sheetData>
  <mergeCells count="4">
    <mergeCell ref="C1:E1"/>
    <mergeCell ref="F1:G1"/>
    <mergeCell ref="H1:I1"/>
    <mergeCell ref="A1:A2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rightToLeft="1" zoomScaleNormal="100" workbookViewId="0">
      <selection activeCell="K4" sqref="K4"/>
    </sheetView>
  </sheetViews>
  <sheetFormatPr defaultRowHeight="14.25" x14ac:dyDescent="0.2"/>
  <cols>
    <col min="1" max="1" width="35.375" customWidth="1"/>
    <col min="2" max="2" width="10.875" customWidth="1"/>
    <col min="3" max="3" width="11.125" customWidth="1"/>
    <col min="4" max="4" width="12.625" customWidth="1"/>
    <col min="5" max="5" width="12.125" customWidth="1"/>
    <col min="6" max="6" width="11.25" customWidth="1"/>
    <col min="7" max="7" width="10.75" customWidth="1"/>
    <col min="8" max="8" width="10.875" customWidth="1"/>
    <col min="9" max="9" width="12.375" customWidth="1"/>
    <col min="10" max="11" width="16.375" customWidth="1"/>
  </cols>
  <sheetData>
    <row r="1" spans="1:12" s="3" customFormat="1" ht="15.75" customHeight="1" x14ac:dyDescent="0.2">
      <c r="A1" s="31" t="s">
        <v>12</v>
      </c>
      <c r="B1" s="29" t="s">
        <v>1</v>
      </c>
      <c r="C1" s="113" t="s">
        <v>2</v>
      </c>
      <c r="D1" s="113"/>
      <c r="E1" s="113"/>
      <c r="F1" s="113" t="s">
        <v>3</v>
      </c>
      <c r="G1" s="113"/>
      <c r="H1" s="113" t="s">
        <v>4</v>
      </c>
      <c r="I1" s="113"/>
      <c r="J1" s="29" t="s">
        <v>5</v>
      </c>
      <c r="K1" s="72" t="s">
        <v>186</v>
      </c>
      <c r="L1" s="6"/>
    </row>
    <row r="2" spans="1:12" s="4" customFormat="1" ht="15" customHeight="1" x14ac:dyDescent="0.25">
      <c r="A2" s="31"/>
      <c r="B2" s="30" t="s">
        <v>0</v>
      </c>
      <c r="C2" s="30" t="s">
        <v>6</v>
      </c>
      <c r="D2" s="30" t="s">
        <v>45</v>
      </c>
      <c r="E2" s="30" t="s">
        <v>37</v>
      </c>
      <c r="F2" s="30" t="s">
        <v>7</v>
      </c>
      <c r="G2" s="30" t="s">
        <v>8</v>
      </c>
      <c r="H2" s="30" t="s">
        <v>9</v>
      </c>
      <c r="I2" s="30" t="s">
        <v>10</v>
      </c>
      <c r="J2" s="30" t="s">
        <v>11</v>
      </c>
      <c r="K2" s="73" t="s">
        <v>187</v>
      </c>
      <c r="L2" s="7"/>
    </row>
    <row r="3" spans="1:12" s="28" customFormat="1" x14ac:dyDescent="0.2">
      <c r="A3" s="37" t="s">
        <v>120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2" x14ac:dyDescent="0.2">
      <c r="A4" s="38" t="s">
        <v>118</v>
      </c>
      <c r="B4" s="38">
        <v>4495</v>
      </c>
      <c r="C4" s="38">
        <v>108108</v>
      </c>
      <c r="D4" s="38">
        <v>114412</v>
      </c>
      <c r="E4" s="38">
        <v>108056</v>
      </c>
      <c r="F4" s="38">
        <v>104128</v>
      </c>
      <c r="G4" s="38">
        <v>92160</v>
      </c>
      <c r="H4" s="38">
        <v>103464</v>
      </c>
      <c r="I4" s="38">
        <v>74483</v>
      </c>
      <c r="J4" s="38">
        <v>117842</v>
      </c>
      <c r="K4" s="38">
        <v>110183</v>
      </c>
    </row>
    <row r="5" spans="1:12" x14ac:dyDescent="0.2">
      <c r="A5" s="38" t="s">
        <v>117</v>
      </c>
      <c r="B5" s="38">
        <v>7563</v>
      </c>
      <c r="C5" s="38">
        <v>162957</v>
      </c>
      <c r="D5" s="38">
        <v>179563</v>
      </c>
      <c r="E5" s="38">
        <v>163673</v>
      </c>
      <c r="F5" s="38">
        <v>129025</v>
      </c>
      <c r="G5" s="38">
        <v>114195</v>
      </c>
      <c r="H5" s="38">
        <v>158447</v>
      </c>
      <c r="I5" s="38">
        <v>101568</v>
      </c>
      <c r="J5" s="38">
        <v>196498</v>
      </c>
      <c r="K5" s="38">
        <v>136408</v>
      </c>
    </row>
    <row r="6" spans="1:12" x14ac:dyDescent="0.2">
      <c r="A6" s="38" t="s">
        <v>119</v>
      </c>
      <c r="B6" s="38">
        <v>1944</v>
      </c>
      <c r="C6" s="38">
        <v>58267</v>
      </c>
      <c r="D6" s="38">
        <v>54981</v>
      </c>
      <c r="E6" s="38">
        <v>56411</v>
      </c>
      <c r="F6" s="38">
        <v>73623</v>
      </c>
      <c r="G6" s="38">
        <v>65160</v>
      </c>
      <c r="H6" s="38">
        <v>53763</v>
      </c>
      <c r="I6" s="38">
        <v>47398</v>
      </c>
      <c r="J6" s="38">
        <v>83087</v>
      </c>
      <c r="K6" s="38">
        <v>77835</v>
      </c>
    </row>
    <row r="7" spans="1:12" x14ac:dyDescent="0.2">
      <c r="A7" s="38" t="s">
        <v>121</v>
      </c>
      <c r="B7" s="38">
        <v>45</v>
      </c>
      <c r="C7" s="38">
        <v>40</v>
      </c>
      <c r="D7" s="38">
        <v>40</v>
      </c>
      <c r="E7" s="38">
        <v>40</v>
      </c>
      <c r="F7" s="38">
        <v>37.5</v>
      </c>
      <c r="G7" s="38">
        <v>37.5</v>
      </c>
      <c r="H7" s="38">
        <v>40</v>
      </c>
      <c r="I7" s="38">
        <v>40</v>
      </c>
      <c r="J7" s="38">
        <v>45</v>
      </c>
      <c r="K7" s="38">
        <v>37</v>
      </c>
    </row>
    <row r="8" spans="1:12" x14ac:dyDescent="0.2">
      <c r="A8" s="38" t="s">
        <v>123</v>
      </c>
      <c r="B8" s="38">
        <v>9</v>
      </c>
      <c r="C8" s="38">
        <v>8</v>
      </c>
      <c r="D8" s="38">
        <v>8</v>
      </c>
      <c r="E8" s="38">
        <v>8</v>
      </c>
      <c r="F8" s="38">
        <v>7.5</v>
      </c>
      <c r="G8" s="38">
        <v>7.5</v>
      </c>
      <c r="H8" s="38">
        <v>8</v>
      </c>
      <c r="I8" s="38">
        <v>8</v>
      </c>
      <c r="J8" s="38">
        <v>9</v>
      </c>
      <c r="K8" s="38">
        <v>7.5</v>
      </c>
    </row>
    <row r="9" spans="1:12" x14ac:dyDescent="0.2">
      <c r="A9" s="38" t="s">
        <v>122</v>
      </c>
      <c r="B9" s="41">
        <f t="shared" ref="B9:K9" si="0">(B4/12)/(B8*21)</f>
        <v>1.981922398589065</v>
      </c>
      <c r="C9" s="41">
        <f t="shared" si="0"/>
        <v>53.625</v>
      </c>
      <c r="D9" s="41">
        <f t="shared" si="0"/>
        <v>56.751984126984134</v>
      </c>
      <c r="E9" s="41">
        <f t="shared" si="0"/>
        <v>53.599206349206348</v>
      </c>
      <c r="F9" s="41">
        <f t="shared" si="0"/>
        <v>55.094179894179895</v>
      </c>
      <c r="G9" s="41">
        <f t="shared" si="0"/>
        <v>48.761904761904759</v>
      </c>
      <c r="H9" s="41">
        <f t="shared" si="0"/>
        <v>51.321428571428569</v>
      </c>
      <c r="I9" s="41">
        <f t="shared" si="0"/>
        <v>36.945932539682545</v>
      </c>
      <c r="J9" s="41">
        <f t="shared" si="0"/>
        <v>51.95855379188712</v>
      </c>
      <c r="K9" s="41">
        <f t="shared" si="0"/>
        <v>58.297883597883597</v>
      </c>
    </row>
    <row r="10" spans="1:12" x14ac:dyDescent="0.2">
      <c r="A10" s="38" t="s">
        <v>126</v>
      </c>
      <c r="B10" s="41"/>
      <c r="C10" s="41"/>
      <c r="D10" s="41"/>
      <c r="E10" s="41"/>
      <c r="F10" s="41"/>
      <c r="G10" s="41"/>
      <c r="H10" s="41"/>
      <c r="I10" s="41"/>
      <c r="J10" s="41"/>
      <c r="K10" s="38"/>
    </row>
    <row r="11" spans="1:12" s="28" customFormat="1" x14ac:dyDescent="0.2">
      <c r="A11" s="37" t="s">
        <v>124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</row>
    <row r="12" spans="1:12" ht="15" x14ac:dyDescent="0.2">
      <c r="A12" s="38" t="s">
        <v>118</v>
      </c>
      <c r="B12" s="38">
        <v>1253</v>
      </c>
      <c r="C12" s="38">
        <v>60664</v>
      </c>
      <c r="D12" s="38">
        <v>59435</v>
      </c>
      <c r="E12" s="39">
        <v>59464</v>
      </c>
      <c r="F12" s="38">
        <v>75899</v>
      </c>
      <c r="G12" s="38">
        <v>68492</v>
      </c>
      <c r="H12" s="38">
        <v>75028</v>
      </c>
      <c r="I12" s="38">
        <v>55277</v>
      </c>
      <c r="J12" s="38">
        <v>99011</v>
      </c>
      <c r="K12" s="38">
        <v>95344</v>
      </c>
    </row>
    <row r="13" spans="1:12" ht="15" x14ac:dyDescent="0.2">
      <c r="A13" s="38" t="s">
        <v>117</v>
      </c>
      <c r="B13" s="38">
        <v>1986</v>
      </c>
      <c r="C13" s="38">
        <v>74490</v>
      </c>
      <c r="D13" s="38">
        <v>72981</v>
      </c>
      <c r="E13" s="39">
        <v>73017</v>
      </c>
      <c r="F13" s="38">
        <v>93198</v>
      </c>
      <c r="G13" s="38">
        <v>84103</v>
      </c>
      <c r="H13" s="38">
        <v>92127</v>
      </c>
      <c r="I13" s="38">
        <v>67874</v>
      </c>
      <c r="J13" s="38">
        <v>121238</v>
      </c>
      <c r="K13" s="38">
        <v>116971</v>
      </c>
    </row>
    <row r="14" spans="1:12" ht="15" x14ac:dyDescent="0.2">
      <c r="A14" s="38" t="s">
        <v>119</v>
      </c>
      <c r="B14" s="38">
        <v>827</v>
      </c>
      <c r="C14" s="38">
        <v>44064</v>
      </c>
      <c r="D14" s="38">
        <v>43172</v>
      </c>
      <c r="E14" s="39">
        <v>43193</v>
      </c>
      <c r="F14" s="38">
        <v>55131</v>
      </c>
      <c r="G14" s="38">
        <v>49751</v>
      </c>
      <c r="H14" s="38">
        <v>54497</v>
      </c>
      <c r="I14" s="38">
        <v>40150</v>
      </c>
      <c r="J14" s="38">
        <v>71718</v>
      </c>
      <c r="K14" s="38">
        <v>69194</v>
      </c>
    </row>
    <row r="15" spans="1:12" ht="15" x14ac:dyDescent="0.2">
      <c r="A15" s="38" t="s">
        <v>121</v>
      </c>
      <c r="B15" s="38">
        <v>45</v>
      </c>
      <c r="C15" s="38">
        <v>40</v>
      </c>
      <c r="D15" s="38">
        <v>40</v>
      </c>
      <c r="E15" s="39">
        <v>40</v>
      </c>
      <c r="F15" s="38">
        <v>37.5</v>
      </c>
      <c r="G15" s="38">
        <v>37.5</v>
      </c>
      <c r="H15" s="38">
        <v>40</v>
      </c>
      <c r="I15" s="38">
        <v>40</v>
      </c>
      <c r="J15" s="38">
        <v>45</v>
      </c>
      <c r="K15" s="38">
        <v>37</v>
      </c>
    </row>
    <row r="16" spans="1:12" ht="15" x14ac:dyDescent="0.2">
      <c r="A16" s="38" t="s">
        <v>123</v>
      </c>
      <c r="B16" s="38">
        <v>9</v>
      </c>
      <c r="C16" s="38">
        <v>8</v>
      </c>
      <c r="D16" s="38">
        <v>8</v>
      </c>
      <c r="E16" s="39">
        <v>8</v>
      </c>
      <c r="F16" s="38">
        <v>7.5</v>
      </c>
      <c r="G16" s="38">
        <v>7.5</v>
      </c>
      <c r="H16" s="38">
        <v>8</v>
      </c>
      <c r="I16" s="38">
        <v>8</v>
      </c>
      <c r="J16" s="38">
        <v>9</v>
      </c>
      <c r="K16" s="38">
        <v>7.5</v>
      </c>
    </row>
    <row r="17" spans="1:11" x14ac:dyDescent="0.2">
      <c r="A17" s="38" t="s">
        <v>122</v>
      </c>
      <c r="B17" s="41">
        <f t="shared" ref="B17:I17" si="1">(B12/12)/(B16*21)</f>
        <v>0.55246913580246915</v>
      </c>
      <c r="C17" s="41">
        <f t="shared" si="1"/>
        <v>30.091269841269838</v>
      </c>
      <c r="D17" s="41">
        <f t="shared" si="1"/>
        <v>29.481646825396826</v>
      </c>
      <c r="E17" s="41">
        <f t="shared" si="1"/>
        <v>29.496031746031743</v>
      </c>
      <c r="F17" s="41">
        <f t="shared" si="1"/>
        <v>40.158201058201058</v>
      </c>
      <c r="G17" s="41">
        <f t="shared" si="1"/>
        <v>36.239153439153441</v>
      </c>
      <c r="H17" s="41">
        <f t="shared" si="1"/>
        <v>37.216269841269842</v>
      </c>
      <c r="I17" s="41">
        <f t="shared" si="1"/>
        <v>27.419146825396826</v>
      </c>
      <c r="J17" s="41">
        <f>(J12/12)/(J16*21)</f>
        <v>43.655643738977069</v>
      </c>
      <c r="K17" s="41">
        <f t="shared" ref="K17" si="2">(K12/12)/(K16*21)</f>
        <v>50.446560846560843</v>
      </c>
    </row>
    <row r="18" spans="1:11" ht="15" customHeight="1" x14ac:dyDescent="0.2">
      <c r="A18" s="38" t="s">
        <v>126</v>
      </c>
      <c r="B18" s="38"/>
      <c r="C18" s="116" t="s">
        <v>125</v>
      </c>
      <c r="D18" s="116"/>
      <c r="E18" s="116"/>
      <c r="F18" s="38"/>
      <c r="G18" s="38"/>
      <c r="H18" s="38"/>
      <c r="I18" s="38"/>
      <c r="J18" s="38"/>
      <c r="K18" s="38"/>
    </row>
    <row r="19" spans="1:11" s="28" customFormat="1" x14ac:dyDescent="0.2">
      <c r="A19" s="37" t="s">
        <v>128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</row>
    <row r="20" spans="1:11" x14ac:dyDescent="0.2">
      <c r="A20" s="38" t="s">
        <v>118</v>
      </c>
      <c r="B20" s="38"/>
      <c r="C20" s="38">
        <v>59205</v>
      </c>
      <c r="D20" s="38">
        <v>51395</v>
      </c>
      <c r="E20" s="38">
        <v>52221</v>
      </c>
      <c r="F20" s="38">
        <v>59899</v>
      </c>
      <c r="G20" s="38">
        <v>53014</v>
      </c>
      <c r="H20" s="38">
        <v>47168</v>
      </c>
      <c r="I20" s="38">
        <v>41101</v>
      </c>
      <c r="J20" s="38">
        <v>69583</v>
      </c>
      <c r="K20" s="38">
        <v>64577</v>
      </c>
    </row>
    <row r="21" spans="1:11" x14ac:dyDescent="0.2">
      <c r="A21" s="38" t="s">
        <v>117</v>
      </c>
      <c r="B21" s="38"/>
      <c r="C21" s="38">
        <v>63262</v>
      </c>
      <c r="D21" s="38">
        <v>62691</v>
      </c>
      <c r="E21" s="38">
        <v>63697</v>
      </c>
      <c r="F21" s="38">
        <v>73063</v>
      </c>
      <c r="G21" s="38">
        <v>64665</v>
      </c>
      <c r="H21" s="38">
        <v>52281</v>
      </c>
      <c r="I21" s="38">
        <v>57401</v>
      </c>
      <c r="J21" s="38">
        <v>84639</v>
      </c>
      <c r="K21" s="38">
        <v>78701</v>
      </c>
    </row>
    <row r="22" spans="1:11" x14ac:dyDescent="0.2">
      <c r="A22" s="38" t="s">
        <v>119</v>
      </c>
      <c r="B22" s="38"/>
      <c r="C22" s="38">
        <v>38200</v>
      </c>
      <c r="D22" s="38">
        <v>37855</v>
      </c>
      <c r="E22" s="38">
        <v>38463</v>
      </c>
      <c r="F22" s="38">
        <v>44118</v>
      </c>
      <c r="G22" s="38">
        <v>39047</v>
      </c>
      <c r="H22" s="38">
        <v>32400</v>
      </c>
      <c r="I22" s="42">
        <v>30301</v>
      </c>
      <c r="J22" s="38">
        <v>51108</v>
      </c>
      <c r="K22" s="38">
        <v>47522</v>
      </c>
    </row>
    <row r="23" spans="1:11" ht="15" x14ac:dyDescent="0.2">
      <c r="A23" s="38" t="s">
        <v>121</v>
      </c>
      <c r="B23" s="38">
        <v>45</v>
      </c>
      <c r="C23" s="38">
        <v>40</v>
      </c>
      <c r="D23" s="38">
        <v>40</v>
      </c>
      <c r="E23" s="39">
        <v>40</v>
      </c>
      <c r="F23" s="38">
        <v>37.5</v>
      </c>
      <c r="G23" s="38">
        <v>37.5</v>
      </c>
      <c r="H23" s="38">
        <v>40</v>
      </c>
      <c r="I23" s="38">
        <v>40</v>
      </c>
      <c r="J23" s="38">
        <v>45</v>
      </c>
      <c r="K23" s="38">
        <v>37</v>
      </c>
    </row>
    <row r="24" spans="1:11" ht="15" x14ac:dyDescent="0.2">
      <c r="A24" s="38" t="s">
        <v>123</v>
      </c>
      <c r="B24" s="38">
        <v>9</v>
      </c>
      <c r="C24" s="38">
        <v>8</v>
      </c>
      <c r="D24" s="38">
        <v>8</v>
      </c>
      <c r="E24" s="39">
        <v>8</v>
      </c>
      <c r="F24" s="38">
        <v>7.5</v>
      </c>
      <c r="G24" s="38">
        <v>7.5</v>
      </c>
      <c r="H24" s="38">
        <v>8</v>
      </c>
      <c r="I24" s="38">
        <v>8</v>
      </c>
      <c r="J24" s="38">
        <v>9</v>
      </c>
      <c r="K24" s="38">
        <v>7.5</v>
      </c>
    </row>
    <row r="25" spans="1:11" x14ac:dyDescent="0.2">
      <c r="A25" s="38" t="s">
        <v>122</v>
      </c>
      <c r="B25" s="41">
        <f t="shared" ref="B25:K25" si="3">(B20/12)/(B24*21)</f>
        <v>0</v>
      </c>
      <c r="C25" s="41">
        <f t="shared" si="3"/>
        <v>29.367559523809526</v>
      </c>
      <c r="D25" s="41">
        <f t="shared" si="3"/>
        <v>25.493551587301589</v>
      </c>
      <c r="E25" s="41">
        <f t="shared" si="3"/>
        <v>25.90327380952381</v>
      </c>
      <c r="F25" s="41">
        <f t="shared" si="3"/>
        <v>31.69259259259259</v>
      </c>
      <c r="G25" s="41">
        <f t="shared" si="3"/>
        <v>28.049735449735447</v>
      </c>
      <c r="H25" s="41">
        <f t="shared" si="3"/>
        <v>23.396825396825395</v>
      </c>
      <c r="I25" s="41">
        <f t="shared" si="3"/>
        <v>20.387400793650794</v>
      </c>
      <c r="J25" s="41">
        <f t="shared" si="3"/>
        <v>30.680335097001763</v>
      </c>
      <c r="K25" s="41">
        <f t="shared" si="3"/>
        <v>34.167724867724871</v>
      </c>
    </row>
    <row r="26" spans="1:11" x14ac:dyDescent="0.2">
      <c r="A26" s="38" t="s">
        <v>126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</row>
  </sheetData>
  <mergeCells count="4">
    <mergeCell ref="C1:E1"/>
    <mergeCell ref="F1:G1"/>
    <mergeCell ref="H1:I1"/>
    <mergeCell ref="C18:E1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rightToLeft="1" topLeftCell="A20" workbookViewId="0">
      <selection activeCell="J11" sqref="J11"/>
    </sheetView>
  </sheetViews>
  <sheetFormatPr defaultRowHeight="14.25" x14ac:dyDescent="0.2"/>
  <cols>
    <col min="1" max="1" width="35.375" style="38" customWidth="1"/>
    <col min="2" max="2" width="13.125" style="38" customWidth="1"/>
    <col min="3" max="3" width="12.875" style="38" customWidth="1"/>
    <col min="4" max="4" width="13.75" style="38" customWidth="1"/>
    <col min="5" max="5" width="12.375" style="40" customWidth="1"/>
    <col min="6" max="6" width="14" style="40" customWidth="1"/>
    <col min="7" max="7" width="17" style="38" customWidth="1"/>
    <col min="8" max="8" width="12.125" style="38" customWidth="1"/>
    <col min="9" max="9" width="11.25" style="38" customWidth="1"/>
    <col min="10" max="10" width="17.375" style="62" customWidth="1"/>
    <col min="11" max="11" width="15" style="62" customWidth="1"/>
    <col min="12" max="12" width="16.5" style="62" customWidth="1"/>
    <col min="13" max="13" width="16.875" style="62" customWidth="1"/>
    <col min="14" max="14" width="16.375" style="38" customWidth="1"/>
  </cols>
  <sheetData>
    <row r="1" spans="1:13" ht="18" x14ac:dyDescent="0.25">
      <c r="A1" s="115" t="s">
        <v>129</v>
      </c>
      <c r="B1" s="135" t="s">
        <v>138</v>
      </c>
      <c r="C1" s="135"/>
      <c r="D1" s="135"/>
      <c r="E1" s="134" t="s">
        <v>131</v>
      </c>
      <c r="F1" s="134" t="s">
        <v>130</v>
      </c>
      <c r="G1" s="135" t="s">
        <v>134</v>
      </c>
      <c r="H1" s="135"/>
      <c r="I1" s="135"/>
      <c r="J1" s="141" t="s">
        <v>184</v>
      </c>
      <c r="K1" s="143" t="s">
        <v>185</v>
      </c>
      <c r="L1" s="144"/>
      <c r="M1" s="145"/>
    </row>
    <row r="2" spans="1:13" ht="15" customHeight="1" x14ac:dyDescent="0.2">
      <c r="A2" s="115"/>
      <c r="B2" s="43" t="s">
        <v>135</v>
      </c>
      <c r="C2" s="43" t="s">
        <v>136</v>
      </c>
      <c r="D2" s="43" t="s">
        <v>137</v>
      </c>
      <c r="E2" s="134"/>
      <c r="F2" s="134"/>
      <c r="G2" s="43" t="s">
        <v>135</v>
      </c>
      <c r="H2" s="43" t="s">
        <v>136</v>
      </c>
      <c r="I2" s="43" t="s">
        <v>137</v>
      </c>
      <c r="J2" s="142"/>
      <c r="K2" s="146"/>
      <c r="L2" s="147"/>
      <c r="M2" s="148"/>
    </row>
    <row r="3" spans="1:13" ht="15.75" customHeight="1" x14ac:dyDescent="0.2">
      <c r="A3" s="123" t="s">
        <v>1</v>
      </c>
      <c r="B3" s="126" t="s">
        <v>155</v>
      </c>
      <c r="C3" s="126"/>
      <c r="D3" s="126"/>
      <c r="E3" s="127" t="s">
        <v>154</v>
      </c>
      <c r="F3" s="130" t="s">
        <v>153</v>
      </c>
      <c r="G3" s="25" t="s">
        <v>141</v>
      </c>
      <c r="H3" s="25">
        <v>1135</v>
      </c>
      <c r="I3" s="44">
        <v>0</v>
      </c>
      <c r="J3" s="61">
        <v>0</v>
      </c>
    </row>
    <row r="4" spans="1:13" ht="15.75" customHeight="1" x14ac:dyDescent="0.2">
      <c r="A4" s="124"/>
      <c r="B4" s="126"/>
      <c r="C4" s="126"/>
      <c r="D4" s="126"/>
      <c r="E4" s="128"/>
      <c r="F4" s="131"/>
      <c r="G4" s="25">
        <v>1135</v>
      </c>
      <c r="H4" s="25">
        <v>2270</v>
      </c>
      <c r="I4" s="44">
        <v>0.1</v>
      </c>
      <c r="J4" s="61">
        <v>0.1</v>
      </c>
    </row>
    <row r="5" spans="1:13" ht="15.75" customHeight="1" x14ac:dyDescent="0.2">
      <c r="A5" s="124"/>
      <c r="B5" s="126"/>
      <c r="C5" s="126"/>
      <c r="D5" s="126"/>
      <c r="E5" s="128"/>
      <c r="F5" s="131"/>
      <c r="G5" s="25">
        <v>2270</v>
      </c>
      <c r="H5" s="25">
        <v>3406</v>
      </c>
      <c r="I5" s="44">
        <v>0.15</v>
      </c>
      <c r="J5" s="61">
        <v>0.15</v>
      </c>
    </row>
    <row r="6" spans="1:13" ht="15.75" customHeight="1" x14ac:dyDescent="0.2">
      <c r="A6" s="124"/>
      <c r="B6" s="126"/>
      <c r="C6" s="126"/>
      <c r="D6" s="126"/>
      <c r="E6" s="128"/>
      <c r="F6" s="131"/>
      <c r="G6" s="25">
        <v>3406</v>
      </c>
      <c r="H6" s="25">
        <v>5109</v>
      </c>
      <c r="I6" s="44">
        <v>0.2</v>
      </c>
      <c r="J6" s="61">
        <v>0.2</v>
      </c>
    </row>
    <row r="7" spans="1:13" ht="15.75" customHeight="1" x14ac:dyDescent="0.2">
      <c r="A7" s="124"/>
      <c r="B7" s="126"/>
      <c r="C7" s="126"/>
      <c r="D7" s="126"/>
      <c r="E7" s="128"/>
      <c r="F7" s="131"/>
      <c r="G7" s="25">
        <v>5109</v>
      </c>
      <c r="H7" s="25">
        <v>6812</v>
      </c>
      <c r="I7" s="44">
        <v>0.25</v>
      </c>
      <c r="J7" s="61">
        <v>0.25</v>
      </c>
    </row>
    <row r="8" spans="1:13" ht="15.75" customHeight="1" x14ac:dyDescent="0.2">
      <c r="A8" s="124"/>
      <c r="B8" s="126"/>
      <c r="C8" s="126"/>
      <c r="D8" s="126"/>
      <c r="E8" s="128"/>
      <c r="F8" s="131"/>
      <c r="G8" s="25">
        <v>6812</v>
      </c>
      <c r="H8" s="25">
        <v>9083</v>
      </c>
      <c r="I8" s="44">
        <v>0.3</v>
      </c>
      <c r="J8" s="61">
        <v>0.3</v>
      </c>
    </row>
    <row r="9" spans="1:13" ht="15.75" customHeight="1" x14ac:dyDescent="0.2">
      <c r="A9" s="125"/>
      <c r="B9" s="126"/>
      <c r="C9" s="126"/>
      <c r="D9" s="126"/>
      <c r="E9" s="129"/>
      <c r="F9" s="132"/>
      <c r="G9" s="25">
        <v>9083</v>
      </c>
      <c r="H9" s="25" t="s">
        <v>139</v>
      </c>
      <c r="I9" s="44">
        <v>0.35</v>
      </c>
      <c r="J9" s="61">
        <v>0.35</v>
      </c>
    </row>
    <row r="10" spans="1:13" ht="15" customHeight="1" x14ac:dyDescent="0.2">
      <c r="A10" s="113" t="s">
        <v>2</v>
      </c>
      <c r="B10" s="140" t="s">
        <v>143</v>
      </c>
      <c r="C10" s="140"/>
      <c r="D10" s="140"/>
      <c r="E10" s="133" t="s">
        <v>133</v>
      </c>
      <c r="F10" s="136" t="s">
        <v>6</v>
      </c>
      <c r="G10" s="25" t="s">
        <v>141</v>
      </c>
      <c r="H10" s="25">
        <v>33816</v>
      </c>
      <c r="I10" s="44">
        <v>5.0599999999999999E-2</v>
      </c>
      <c r="J10" s="61">
        <f>D12+I10</f>
        <v>0.2006</v>
      </c>
      <c r="K10" s="61"/>
      <c r="L10" s="61"/>
    </row>
    <row r="11" spans="1:13" ht="15.75" customHeight="1" x14ac:dyDescent="0.2">
      <c r="A11" s="113"/>
      <c r="B11" s="140"/>
      <c r="C11" s="140"/>
      <c r="D11" s="140"/>
      <c r="E11" s="133"/>
      <c r="F11" s="136"/>
      <c r="G11" s="25">
        <v>33816</v>
      </c>
      <c r="H11" s="25">
        <v>67633</v>
      </c>
      <c r="I11" s="44">
        <v>7.6999999999999999E-2</v>
      </c>
      <c r="J11" s="61">
        <f>(K11+L11)/2</f>
        <v>0.25449999999999995</v>
      </c>
      <c r="K11" s="61">
        <f>D12+I11</f>
        <v>0.22699999999999998</v>
      </c>
      <c r="L11" s="61">
        <f>D15+I11</f>
        <v>0.28199999999999997</v>
      </c>
      <c r="M11" s="166"/>
    </row>
    <row r="12" spans="1:13" ht="15.75" customHeight="1" x14ac:dyDescent="0.2">
      <c r="A12" s="113"/>
      <c r="B12" s="138" t="s">
        <v>141</v>
      </c>
      <c r="C12" s="138">
        <v>38487</v>
      </c>
      <c r="D12" s="137">
        <v>0.15</v>
      </c>
      <c r="E12" s="133"/>
      <c r="F12" s="136"/>
      <c r="G12" s="25">
        <v>67633</v>
      </c>
      <c r="H12" s="25">
        <v>77651</v>
      </c>
      <c r="I12" s="44">
        <v>0.105</v>
      </c>
      <c r="J12" s="61">
        <f>(L12+K12)/2</f>
        <v>0.33750000000000002</v>
      </c>
      <c r="K12" s="61">
        <f>D15+I12</f>
        <v>0.31</v>
      </c>
      <c r="L12" s="61">
        <f>D18+I12</f>
        <v>0.36499999999999999</v>
      </c>
    </row>
    <row r="13" spans="1:13" ht="15.75" customHeight="1" x14ac:dyDescent="0.2">
      <c r="A13" s="113"/>
      <c r="B13" s="138"/>
      <c r="C13" s="138"/>
      <c r="D13" s="137"/>
      <c r="E13" s="133"/>
      <c r="F13" s="136"/>
      <c r="G13" s="25">
        <v>77651</v>
      </c>
      <c r="H13" s="25">
        <v>94291</v>
      </c>
      <c r="I13" s="44">
        <v>0.1229</v>
      </c>
      <c r="J13" s="61">
        <f>D18+I13</f>
        <v>0.38290000000000002</v>
      </c>
      <c r="K13" s="61"/>
      <c r="L13" s="61"/>
    </row>
    <row r="14" spans="1:13" ht="15.75" customHeight="1" x14ac:dyDescent="0.2">
      <c r="A14" s="113"/>
      <c r="B14" s="138"/>
      <c r="C14" s="138"/>
      <c r="D14" s="137"/>
      <c r="E14" s="133"/>
      <c r="F14" s="136"/>
      <c r="G14" s="25">
        <v>94291</v>
      </c>
      <c r="H14" s="25">
        <v>127846</v>
      </c>
      <c r="I14" s="44">
        <v>0.14699999999999999</v>
      </c>
      <c r="J14" s="61">
        <f>(L14+K14)/2</f>
        <v>0.42199999999999999</v>
      </c>
      <c r="K14" s="61">
        <f>D18+I14</f>
        <v>0.40700000000000003</v>
      </c>
      <c r="L14" s="61">
        <f>D21+I14</f>
        <v>0.43699999999999994</v>
      </c>
    </row>
    <row r="15" spans="1:13" ht="15.75" customHeight="1" x14ac:dyDescent="0.2">
      <c r="A15" s="113"/>
      <c r="B15" s="138">
        <v>38487</v>
      </c>
      <c r="C15" s="138">
        <v>76975</v>
      </c>
      <c r="D15" s="137">
        <v>0.20499999999999999</v>
      </c>
      <c r="E15" s="133"/>
      <c r="F15" s="136"/>
      <c r="G15" s="25">
        <v>127846</v>
      </c>
      <c r="H15" s="25">
        <v>178299</v>
      </c>
      <c r="I15" s="44">
        <v>0.16800000000000001</v>
      </c>
      <c r="J15" s="61">
        <f>(L15+K15)/2</f>
        <v>0.47799999999999998</v>
      </c>
      <c r="K15" s="61">
        <f>D21+I15</f>
        <v>0.45799999999999996</v>
      </c>
      <c r="L15" s="61">
        <f>D24+I15</f>
        <v>0.498</v>
      </c>
    </row>
    <row r="16" spans="1:13" ht="15.75" customHeight="1" x14ac:dyDescent="0.2">
      <c r="A16" s="113"/>
      <c r="B16" s="138"/>
      <c r="C16" s="138"/>
      <c r="D16" s="137"/>
      <c r="E16" s="133"/>
      <c r="F16" s="136"/>
      <c r="G16" s="25">
        <v>178299</v>
      </c>
      <c r="H16" s="25" t="s">
        <v>139</v>
      </c>
      <c r="I16" s="44">
        <v>0.20499999999999999</v>
      </c>
      <c r="J16" s="61">
        <f>D24+I16</f>
        <v>0.53500000000000003</v>
      </c>
      <c r="K16" s="61"/>
      <c r="L16" s="61"/>
    </row>
    <row r="17" spans="1:13" ht="15.75" customHeight="1" x14ac:dyDescent="0.2">
      <c r="A17" s="113"/>
      <c r="B17" s="138"/>
      <c r="C17" s="138"/>
      <c r="D17" s="137"/>
      <c r="E17" s="133" t="s">
        <v>140</v>
      </c>
      <c r="F17" s="136" t="s">
        <v>45</v>
      </c>
      <c r="G17" s="25" t="s">
        <v>141</v>
      </c>
      <c r="H17" s="25">
        <v>36294</v>
      </c>
      <c r="I17" s="44">
        <v>5.0500000000000003E-2</v>
      </c>
      <c r="J17" s="61">
        <f>D12+I17</f>
        <v>0.20050000000000001</v>
      </c>
      <c r="K17" s="61"/>
      <c r="L17" s="61"/>
    </row>
    <row r="18" spans="1:13" ht="15.75" customHeight="1" x14ac:dyDescent="0.2">
      <c r="A18" s="113"/>
      <c r="B18" s="138">
        <v>76975</v>
      </c>
      <c r="C18" s="138">
        <v>119324</v>
      </c>
      <c r="D18" s="137">
        <v>0.26</v>
      </c>
      <c r="E18" s="133"/>
      <c r="F18" s="136"/>
      <c r="G18" s="25">
        <v>36294</v>
      </c>
      <c r="H18" s="25">
        <v>72589</v>
      </c>
      <c r="I18" s="44">
        <v>9.1499999999999998E-2</v>
      </c>
      <c r="J18" s="61">
        <f>(K18+L18)/2</f>
        <v>0.26900000000000002</v>
      </c>
      <c r="K18" s="61">
        <f>D12+I18</f>
        <v>0.24149999999999999</v>
      </c>
      <c r="L18" s="61">
        <f>D15+I18</f>
        <v>0.29649999999999999</v>
      </c>
    </row>
    <row r="19" spans="1:13" ht="15.75" customHeight="1" x14ac:dyDescent="0.2">
      <c r="A19" s="113"/>
      <c r="B19" s="138"/>
      <c r="C19" s="138"/>
      <c r="D19" s="137"/>
      <c r="E19" s="133"/>
      <c r="F19" s="136"/>
      <c r="G19" s="25">
        <v>72589</v>
      </c>
      <c r="H19" s="25">
        <v>117771</v>
      </c>
      <c r="I19" s="44">
        <v>0.1116</v>
      </c>
      <c r="J19" s="61">
        <f>(K19+L19)/2</f>
        <v>0.34410000000000002</v>
      </c>
      <c r="K19" s="61">
        <f>D15+I19</f>
        <v>0.31659999999999999</v>
      </c>
      <c r="L19" s="61">
        <f>D18+I19</f>
        <v>0.37160000000000004</v>
      </c>
    </row>
    <row r="20" spans="1:13" ht="15.75" customHeight="1" x14ac:dyDescent="0.2">
      <c r="A20" s="113"/>
      <c r="B20" s="138"/>
      <c r="C20" s="138"/>
      <c r="D20" s="137"/>
      <c r="E20" s="133"/>
      <c r="F20" s="136"/>
      <c r="G20" s="25">
        <v>117771</v>
      </c>
      <c r="H20" s="25">
        <v>172731</v>
      </c>
      <c r="I20" s="44">
        <v>0.1216</v>
      </c>
      <c r="J20" s="61">
        <f>(K20+L20+M20)/3</f>
        <v>0.41493333333333332</v>
      </c>
      <c r="K20" s="61">
        <f>D18+I20</f>
        <v>0.38159999999999999</v>
      </c>
      <c r="L20" s="61">
        <f>D21+I20</f>
        <v>0.41159999999999997</v>
      </c>
      <c r="M20" s="61">
        <f>D24+I20</f>
        <v>0.4516</v>
      </c>
    </row>
    <row r="21" spans="1:13" ht="15.75" customHeight="1" x14ac:dyDescent="0.2">
      <c r="A21" s="113"/>
      <c r="B21" s="138">
        <v>119324</v>
      </c>
      <c r="C21" s="138">
        <v>169992</v>
      </c>
      <c r="D21" s="137">
        <v>0.28999999999999998</v>
      </c>
      <c r="E21" s="133"/>
      <c r="F21" s="136"/>
      <c r="G21" s="25">
        <v>172731</v>
      </c>
      <c r="H21" s="25" t="s">
        <v>139</v>
      </c>
      <c r="I21" s="44">
        <v>0.13159999999999999</v>
      </c>
      <c r="J21" s="61">
        <f>D24+I21</f>
        <v>0.46160000000000001</v>
      </c>
      <c r="K21" s="61"/>
      <c r="L21" s="61"/>
    </row>
    <row r="22" spans="1:13" ht="15.75" customHeight="1" x14ac:dyDescent="0.2">
      <c r="A22" s="113"/>
      <c r="B22" s="138"/>
      <c r="C22" s="138"/>
      <c r="D22" s="137"/>
      <c r="E22" s="133" t="s">
        <v>142</v>
      </c>
      <c r="F22" s="136" t="s">
        <v>37</v>
      </c>
      <c r="G22" s="25" t="s">
        <v>141</v>
      </c>
      <c r="H22" s="25">
        <v>103026</v>
      </c>
      <c r="I22" s="47">
        <v>0.1</v>
      </c>
      <c r="J22" s="61">
        <f>(K22+L22+M22)/3</f>
        <v>0.30499999999999999</v>
      </c>
      <c r="K22" s="61">
        <f>D12+I22</f>
        <v>0.25</v>
      </c>
      <c r="L22" s="61">
        <f>D15+I22</f>
        <v>0.30499999999999999</v>
      </c>
      <c r="M22" s="61">
        <f>D18+I22</f>
        <v>0.36</v>
      </c>
    </row>
    <row r="23" spans="1:13" ht="15.75" customHeight="1" x14ac:dyDescent="0.2">
      <c r="A23" s="113"/>
      <c r="B23" s="138"/>
      <c r="C23" s="138"/>
      <c r="D23" s="137"/>
      <c r="E23" s="133"/>
      <c r="F23" s="136"/>
      <c r="G23" s="25">
        <v>103026</v>
      </c>
      <c r="H23" s="25">
        <v>123632</v>
      </c>
      <c r="I23" s="47">
        <v>0.12</v>
      </c>
      <c r="J23" s="61">
        <f>(K23+L23)/2</f>
        <v>0.39500000000000002</v>
      </c>
      <c r="K23" s="61">
        <f>D18+I23</f>
        <v>0.38</v>
      </c>
      <c r="L23" s="61">
        <f>D21+I23</f>
        <v>0.41</v>
      </c>
    </row>
    <row r="24" spans="1:13" ht="15.75" customHeight="1" x14ac:dyDescent="0.2">
      <c r="A24" s="113"/>
      <c r="B24" s="138">
        <v>169992</v>
      </c>
      <c r="C24" s="138" t="s">
        <v>139</v>
      </c>
      <c r="D24" s="137">
        <v>0.33</v>
      </c>
      <c r="E24" s="133"/>
      <c r="F24" s="136"/>
      <c r="G24" s="25">
        <v>123632</v>
      </c>
      <c r="H24" s="25">
        <v>164842</v>
      </c>
      <c r="I24" s="47">
        <v>0.13</v>
      </c>
      <c r="J24" s="61">
        <f>D21+I24</f>
        <v>0.42</v>
      </c>
      <c r="K24" s="61"/>
      <c r="L24" s="61"/>
    </row>
    <row r="25" spans="1:13" ht="15.75" customHeight="1" x14ac:dyDescent="0.2">
      <c r="A25" s="113"/>
      <c r="B25" s="138"/>
      <c r="C25" s="138"/>
      <c r="D25" s="137"/>
      <c r="E25" s="133"/>
      <c r="F25" s="136"/>
      <c r="G25" s="25">
        <v>164842</v>
      </c>
      <c r="H25" s="25">
        <v>247264</v>
      </c>
      <c r="I25" s="47">
        <v>0.14000000000000001</v>
      </c>
      <c r="J25" s="61">
        <f>(K25+L25)/2</f>
        <v>0.45</v>
      </c>
      <c r="K25" s="61">
        <f>D21+I25</f>
        <v>0.43</v>
      </c>
      <c r="L25" s="61">
        <f>D24+I25</f>
        <v>0.47000000000000003</v>
      </c>
    </row>
    <row r="26" spans="1:13" ht="15" customHeight="1" x14ac:dyDescent="0.2">
      <c r="A26" s="113"/>
      <c r="B26" s="138"/>
      <c r="C26" s="138"/>
      <c r="D26" s="137"/>
      <c r="E26" s="133"/>
      <c r="F26" s="136"/>
      <c r="G26" s="25">
        <v>247264</v>
      </c>
      <c r="H26" s="25" t="s">
        <v>139</v>
      </c>
      <c r="I26" s="47">
        <v>0.15</v>
      </c>
      <c r="J26" s="61">
        <f>D24+I26</f>
        <v>0.48</v>
      </c>
      <c r="K26" s="61"/>
      <c r="L26" s="61"/>
    </row>
    <row r="27" spans="1:13" ht="15.75" customHeight="1" x14ac:dyDescent="0.2">
      <c r="A27" s="113" t="s">
        <v>3</v>
      </c>
      <c r="B27" s="140" t="s">
        <v>144</v>
      </c>
      <c r="C27" s="140"/>
      <c r="D27" s="140"/>
      <c r="E27" s="133" t="s">
        <v>145</v>
      </c>
      <c r="F27" s="136" t="s">
        <v>146</v>
      </c>
      <c r="G27" s="25">
        <v>0</v>
      </c>
      <c r="H27" s="25">
        <v>21277</v>
      </c>
      <c r="I27" s="44">
        <v>0</v>
      </c>
      <c r="J27" s="61">
        <f>B29+I27</f>
        <v>0.22</v>
      </c>
    </row>
    <row r="28" spans="1:13" ht="15.75" customHeight="1" x14ac:dyDescent="0.2">
      <c r="A28" s="113"/>
      <c r="B28" s="140"/>
      <c r="C28" s="140"/>
      <c r="D28" s="140"/>
      <c r="E28" s="133"/>
      <c r="F28" s="136"/>
      <c r="G28" s="25">
        <v>21277</v>
      </c>
      <c r="H28" s="25">
        <v>29946</v>
      </c>
      <c r="I28" s="44">
        <v>1.7000000000000001E-2</v>
      </c>
      <c r="J28" s="61">
        <f>B29+I28</f>
        <v>0.23699999999999999</v>
      </c>
    </row>
    <row r="29" spans="1:13" ht="15.75" customHeight="1" x14ac:dyDescent="0.2">
      <c r="A29" s="113"/>
      <c r="B29" s="137">
        <v>0.22</v>
      </c>
      <c r="C29" s="137"/>
      <c r="D29" s="137"/>
      <c r="E29" s="133"/>
      <c r="F29" s="136"/>
      <c r="G29" s="25">
        <v>29946</v>
      </c>
      <c r="H29" s="25">
        <v>71964</v>
      </c>
      <c r="I29" s="44">
        <v>0.04</v>
      </c>
      <c r="J29" s="61">
        <f>B29+I29</f>
        <v>0.26</v>
      </c>
    </row>
    <row r="30" spans="1:13" ht="15.75" customHeight="1" x14ac:dyDescent="0.2">
      <c r="A30" s="113"/>
      <c r="B30" s="137"/>
      <c r="C30" s="137"/>
      <c r="D30" s="137"/>
      <c r="E30" s="133"/>
      <c r="F30" s="136"/>
      <c r="G30" s="25">
        <v>71964</v>
      </c>
      <c r="H30" s="25">
        <v>108337</v>
      </c>
      <c r="I30" s="44">
        <v>0.13400000000000001</v>
      </c>
      <c r="J30" s="61">
        <f>B29+I30</f>
        <v>0.35399999999999998</v>
      </c>
    </row>
    <row r="31" spans="1:13" ht="15.75" customHeight="1" x14ac:dyDescent="0.2">
      <c r="A31" s="113"/>
      <c r="B31" s="137"/>
      <c r="C31" s="137"/>
      <c r="D31" s="137"/>
      <c r="E31" s="133"/>
      <c r="F31" s="136"/>
      <c r="G31" s="25">
        <v>108337</v>
      </c>
      <c r="H31" s="25">
        <v>223561</v>
      </c>
      <c r="I31" s="44">
        <v>0.16400000000000001</v>
      </c>
      <c r="J31" s="61">
        <f>B29+I31</f>
        <v>0.38400000000000001</v>
      </c>
    </row>
    <row r="32" spans="1:13" ht="15.75" customHeight="1" x14ac:dyDescent="0.2">
      <c r="A32" s="113"/>
      <c r="B32" s="137"/>
      <c r="C32" s="137"/>
      <c r="D32" s="137"/>
      <c r="E32" s="133"/>
      <c r="F32" s="136"/>
      <c r="G32" s="25">
        <v>223561</v>
      </c>
      <c r="H32" s="25" t="s">
        <v>139</v>
      </c>
      <c r="I32" s="44">
        <v>0.17399999999999999</v>
      </c>
      <c r="J32" s="61">
        <f>B29+I32</f>
        <v>0.39400000000000002</v>
      </c>
    </row>
    <row r="33" spans="1:10" ht="15.75" customHeight="1" x14ac:dyDescent="0.2">
      <c r="A33" s="123" t="s">
        <v>4</v>
      </c>
      <c r="B33" s="126" t="s">
        <v>149</v>
      </c>
      <c r="C33" s="126"/>
      <c r="D33" s="126"/>
      <c r="E33" s="127" t="s">
        <v>147</v>
      </c>
      <c r="F33" s="130" t="s">
        <v>148</v>
      </c>
      <c r="G33" s="25" t="s">
        <v>141</v>
      </c>
      <c r="H33" s="25">
        <v>16873</v>
      </c>
      <c r="I33" s="44">
        <v>0</v>
      </c>
      <c r="J33" s="61">
        <v>0</v>
      </c>
    </row>
    <row r="34" spans="1:10" ht="15.75" customHeight="1" x14ac:dyDescent="0.2">
      <c r="A34" s="124"/>
      <c r="B34" s="126"/>
      <c r="C34" s="126"/>
      <c r="D34" s="126"/>
      <c r="E34" s="128"/>
      <c r="F34" s="131"/>
      <c r="G34" s="25">
        <v>16873</v>
      </c>
      <c r="H34" s="25">
        <v>67480</v>
      </c>
      <c r="I34" s="44">
        <v>0.2</v>
      </c>
      <c r="J34" s="61">
        <v>0.2</v>
      </c>
    </row>
    <row r="35" spans="1:10" ht="15.75" customHeight="1" x14ac:dyDescent="0.2">
      <c r="A35" s="124"/>
      <c r="B35" s="126"/>
      <c r="C35" s="126"/>
      <c r="D35" s="126"/>
      <c r="E35" s="128"/>
      <c r="F35" s="131"/>
      <c r="G35" s="25">
        <v>67480</v>
      </c>
      <c r="H35" s="25">
        <v>201355</v>
      </c>
      <c r="I35" s="44">
        <v>0.4</v>
      </c>
      <c r="J35" s="61">
        <v>0.4</v>
      </c>
    </row>
    <row r="36" spans="1:10" ht="15.75" customHeight="1" x14ac:dyDescent="0.2">
      <c r="A36" s="125"/>
      <c r="B36" s="126"/>
      <c r="C36" s="126"/>
      <c r="D36" s="126"/>
      <c r="E36" s="129"/>
      <c r="F36" s="132"/>
      <c r="G36" s="25">
        <v>201355</v>
      </c>
      <c r="H36" s="25" t="s">
        <v>139</v>
      </c>
      <c r="I36" s="44">
        <v>0.45</v>
      </c>
      <c r="J36" s="61">
        <v>0.45</v>
      </c>
    </row>
    <row r="37" spans="1:10" ht="15.75" customHeight="1" x14ac:dyDescent="0.2">
      <c r="A37" s="124" t="s">
        <v>132</v>
      </c>
      <c r="B37" s="139" t="s">
        <v>152</v>
      </c>
      <c r="C37" s="139"/>
      <c r="D37" s="139"/>
      <c r="E37" s="128" t="s">
        <v>150</v>
      </c>
      <c r="F37" s="131" t="s">
        <v>151</v>
      </c>
      <c r="G37" s="49">
        <v>0</v>
      </c>
      <c r="H37" s="49">
        <f>1.07*30799</f>
        <v>32954.93</v>
      </c>
      <c r="I37" s="50">
        <v>0</v>
      </c>
      <c r="J37" s="50">
        <v>0</v>
      </c>
    </row>
    <row r="38" spans="1:10" ht="15.75" customHeight="1" x14ac:dyDescent="0.2">
      <c r="A38" s="124"/>
      <c r="B38" s="126"/>
      <c r="C38" s="126"/>
      <c r="D38" s="126"/>
      <c r="E38" s="128"/>
      <c r="F38" s="131"/>
      <c r="G38" s="25">
        <f>1.07*30800</f>
        <v>32956</v>
      </c>
      <c r="H38" s="25">
        <f>1.07*50900</f>
        <v>54463</v>
      </c>
      <c r="I38" s="44">
        <v>0.01</v>
      </c>
      <c r="J38" s="61">
        <v>0.01</v>
      </c>
    </row>
    <row r="39" spans="1:10" ht="15.75" customHeight="1" x14ac:dyDescent="0.2">
      <c r="A39" s="124"/>
      <c r="B39" s="126"/>
      <c r="C39" s="126"/>
      <c r="D39" s="126"/>
      <c r="E39" s="128"/>
      <c r="F39" s="131"/>
      <c r="G39" s="25">
        <f>1.07*50901</f>
        <v>54464.07</v>
      </c>
      <c r="H39" s="25">
        <f>1.07*58400</f>
        <v>62488</v>
      </c>
      <c r="I39" s="44">
        <v>0.02</v>
      </c>
      <c r="J39" s="61">
        <v>0.02</v>
      </c>
    </row>
    <row r="40" spans="1:10" x14ac:dyDescent="0.2">
      <c r="A40" s="124"/>
      <c r="B40" s="126"/>
      <c r="C40" s="126"/>
      <c r="D40" s="126"/>
      <c r="E40" s="128"/>
      <c r="F40" s="131"/>
      <c r="G40" s="25">
        <f>1.07*58401</f>
        <v>62489.070000000007</v>
      </c>
      <c r="H40" s="25">
        <f>1.07*75300</f>
        <v>80571</v>
      </c>
      <c r="I40" s="44">
        <v>0.03</v>
      </c>
      <c r="J40" s="61">
        <v>0.03</v>
      </c>
    </row>
    <row r="41" spans="1:10" x14ac:dyDescent="0.2">
      <c r="A41" s="124"/>
      <c r="B41" s="126"/>
      <c r="C41" s="126"/>
      <c r="D41" s="126"/>
      <c r="E41" s="128"/>
      <c r="F41" s="131"/>
      <c r="G41" s="25">
        <f>1.07*75301</f>
        <v>80572.070000000007</v>
      </c>
      <c r="H41" s="25">
        <f>1.07*90300</f>
        <v>96621</v>
      </c>
      <c r="I41" s="44">
        <v>0.04</v>
      </c>
      <c r="J41" s="61">
        <v>0.04</v>
      </c>
    </row>
    <row r="42" spans="1:10" x14ac:dyDescent="0.2">
      <c r="A42" s="124"/>
      <c r="B42" s="126"/>
      <c r="C42" s="126"/>
      <c r="D42" s="126"/>
      <c r="E42" s="128"/>
      <c r="F42" s="131"/>
      <c r="G42" s="25">
        <f>1.07*90301</f>
        <v>96622.07</v>
      </c>
      <c r="H42" s="25">
        <f>1.07*103400</f>
        <v>110638</v>
      </c>
      <c r="I42" s="44">
        <v>0.05</v>
      </c>
      <c r="J42" s="61">
        <v>0.05</v>
      </c>
    </row>
    <row r="43" spans="1:10" x14ac:dyDescent="0.2">
      <c r="A43" s="124"/>
      <c r="B43" s="126"/>
      <c r="C43" s="126"/>
      <c r="D43" s="126"/>
      <c r="E43" s="128"/>
      <c r="F43" s="131"/>
      <c r="G43" s="25">
        <f>1.07*103401</f>
        <v>110639.07</v>
      </c>
      <c r="H43" s="25">
        <f>1.07*114700</f>
        <v>122729</v>
      </c>
      <c r="I43" s="44">
        <v>0.06</v>
      </c>
      <c r="J43" s="61">
        <v>0.06</v>
      </c>
    </row>
    <row r="44" spans="1:10" x14ac:dyDescent="0.2">
      <c r="A44" s="124"/>
      <c r="B44" s="126"/>
      <c r="C44" s="126"/>
      <c r="D44" s="126"/>
      <c r="E44" s="128"/>
      <c r="F44" s="131"/>
      <c r="G44" s="25">
        <f>1.07*114701</f>
        <v>122730.07</v>
      </c>
      <c r="H44" s="25">
        <f>1.07*124200</f>
        <v>132894</v>
      </c>
      <c r="I44" s="44">
        <v>7.0000000000000007E-2</v>
      </c>
      <c r="J44" s="61">
        <v>7.0000000000000007E-2</v>
      </c>
    </row>
    <row r="45" spans="1:10" x14ac:dyDescent="0.2">
      <c r="A45" s="124"/>
      <c r="B45" s="126"/>
      <c r="C45" s="126"/>
      <c r="D45" s="126"/>
      <c r="E45" s="128"/>
      <c r="F45" s="131"/>
      <c r="G45" s="25">
        <f>1.07*124201</f>
        <v>132895.07</v>
      </c>
      <c r="H45" s="25">
        <f>1.07*131700</f>
        <v>140919</v>
      </c>
      <c r="I45" s="44">
        <v>0.08</v>
      </c>
      <c r="J45" s="61">
        <v>0.08</v>
      </c>
    </row>
    <row r="46" spans="1:10" x14ac:dyDescent="0.2">
      <c r="A46" s="124"/>
      <c r="B46" s="126"/>
      <c r="C46" s="126"/>
      <c r="D46" s="126"/>
      <c r="E46" s="128"/>
      <c r="F46" s="131"/>
      <c r="G46" s="25">
        <f>1.07*131701</f>
        <v>140920.07</v>
      </c>
      <c r="H46" s="25">
        <f>1.07*137300</f>
        <v>146911</v>
      </c>
      <c r="I46" s="44">
        <v>0.09</v>
      </c>
      <c r="J46" s="61">
        <v>0.09</v>
      </c>
    </row>
    <row r="47" spans="1:10" x14ac:dyDescent="0.2">
      <c r="A47" s="124"/>
      <c r="B47" s="126"/>
      <c r="C47" s="126"/>
      <c r="D47" s="126"/>
      <c r="E47" s="128"/>
      <c r="F47" s="131"/>
      <c r="G47" s="25">
        <f>1.07*137301</f>
        <v>146912.07</v>
      </c>
      <c r="H47" s="25">
        <f>1.07*141200</f>
        <v>151084</v>
      </c>
      <c r="I47" s="44">
        <v>0.1</v>
      </c>
      <c r="J47" s="61">
        <v>0.1</v>
      </c>
    </row>
    <row r="48" spans="1:10" ht="15" customHeight="1" x14ac:dyDescent="0.2">
      <c r="A48" s="124"/>
      <c r="B48" s="126"/>
      <c r="C48" s="126"/>
      <c r="D48" s="126"/>
      <c r="E48" s="128"/>
      <c r="F48" s="131"/>
      <c r="G48" s="25">
        <f>1.07*141201</f>
        <v>151085.07</v>
      </c>
      <c r="H48" s="25">
        <f>1.07*143100</f>
        <v>153117</v>
      </c>
      <c r="I48" s="44">
        <v>0.11</v>
      </c>
      <c r="J48" s="61">
        <v>0.11</v>
      </c>
    </row>
    <row r="49" spans="1:12" x14ac:dyDescent="0.2">
      <c r="A49" s="124"/>
      <c r="B49" s="126"/>
      <c r="C49" s="126"/>
      <c r="D49" s="126"/>
      <c r="E49" s="128"/>
      <c r="F49" s="131"/>
      <c r="G49" s="25">
        <f>1.07*143101</f>
        <v>153118.07</v>
      </c>
      <c r="H49" s="25">
        <f>1.07*145000</f>
        <v>155150</v>
      </c>
      <c r="I49" s="44">
        <v>0.12</v>
      </c>
      <c r="J49" s="61">
        <v>0.12</v>
      </c>
    </row>
    <row r="50" spans="1:12" x14ac:dyDescent="0.2">
      <c r="A50" s="124"/>
      <c r="B50" s="126"/>
      <c r="C50" s="126"/>
      <c r="D50" s="126"/>
      <c r="E50" s="128"/>
      <c r="F50" s="131"/>
      <c r="G50" s="25">
        <f>1.07*145001</f>
        <v>155151.07</v>
      </c>
      <c r="H50" s="25">
        <f>1.07*895900</f>
        <v>958613</v>
      </c>
      <c r="I50" s="44">
        <v>0.13</v>
      </c>
      <c r="J50" s="61">
        <v>0.13</v>
      </c>
    </row>
    <row r="51" spans="1:12" x14ac:dyDescent="0.2">
      <c r="A51" s="125"/>
      <c r="B51" s="126"/>
      <c r="C51" s="126"/>
      <c r="D51" s="126"/>
      <c r="E51" s="129"/>
      <c r="F51" s="132"/>
      <c r="G51" s="25">
        <f>1.07*895901</f>
        <v>958614.07000000007</v>
      </c>
      <c r="H51" s="25" t="s">
        <v>139</v>
      </c>
      <c r="I51" s="44">
        <v>0.115</v>
      </c>
      <c r="J51" s="61">
        <v>0.115</v>
      </c>
    </row>
    <row r="52" spans="1:12" x14ac:dyDescent="0.2">
      <c r="A52" s="123" t="s">
        <v>186</v>
      </c>
      <c r="B52" s="126" t="s">
        <v>189</v>
      </c>
      <c r="C52" s="126"/>
      <c r="D52" s="126"/>
      <c r="E52" s="127" t="s">
        <v>190</v>
      </c>
      <c r="F52" s="130" t="s">
        <v>191</v>
      </c>
      <c r="G52" s="75">
        <v>0</v>
      </c>
      <c r="H52" s="75">
        <v>7806</v>
      </c>
      <c r="I52" s="74">
        <v>0.08</v>
      </c>
      <c r="J52" s="74">
        <f>I52</f>
        <v>0.08</v>
      </c>
      <c r="K52" s="117" t="s">
        <v>192</v>
      </c>
      <c r="L52" s="118"/>
    </row>
    <row r="53" spans="1:12" x14ac:dyDescent="0.2">
      <c r="A53" s="124"/>
      <c r="B53" s="126"/>
      <c r="C53" s="126"/>
      <c r="D53" s="126"/>
      <c r="E53" s="128"/>
      <c r="F53" s="131"/>
      <c r="G53" s="75">
        <v>7806</v>
      </c>
      <c r="H53" s="75">
        <v>83789</v>
      </c>
      <c r="I53" s="74">
        <v>0.42830000000000001</v>
      </c>
      <c r="J53" s="74">
        <f>I53</f>
        <v>0.42830000000000001</v>
      </c>
      <c r="K53" s="119"/>
      <c r="L53" s="120"/>
    </row>
    <row r="54" spans="1:12" x14ac:dyDescent="0.2">
      <c r="A54" s="125"/>
      <c r="B54" s="126"/>
      <c r="C54" s="126"/>
      <c r="D54" s="126"/>
      <c r="E54" s="129"/>
      <c r="F54" s="132"/>
      <c r="G54" s="75">
        <v>83789</v>
      </c>
      <c r="H54" s="75" t="s">
        <v>139</v>
      </c>
      <c r="I54" s="74">
        <v>0.56599999999999995</v>
      </c>
      <c r="J54" s="74">
        <f>I54</f>
        <v>0.56599999999999995</v>
      </c>
      <c r="K54" s="121"/>
      <c r="L54" s="122"/>
    </row>
  </sheetData>
  <mergeCells count="52">
    <mergeCell ref="J1:J2"/>
    <mergeCell ref="K1:M2"/>
    <mergeCell ref="E3:E9"/>
    <mergeCell ref="F3:F9"/>
    <mergeCell ref="A3:A9"/>
    <mergeCell ref="B3:D9"/>
    <mergeCell ref="A33:A36"/>
    <mergeCell ref="E33:E36"/>
    <mergeCell ref="F33:F36"/>
    <mergeCell ref="B33:D36"/>
    <mergeCell ref="A27:A32"/>
    <mergeCell ref="B27:D28"/>
    <mergeCell ref="B29:D32"/>
    <mergeCell ref="E27:E32"/>
    <mergeCell ref="F27:F32"/>
    <mergeCell ref="B10:D11"/>
    <mergeCell ref="B18:B20"/>
    <mergeCell ref="C24:C26"/>
    <mergeCell ref="B24:B26"/>
    <mergeCell ref="C18:C20"/>
    <mergeCell ref="D18:D20"/>
    <mergeCell ref="B12:B14"/>
    <mergeCell ref="C12:C14"/>
    <mergeCell ref="D12:D14"/>
    <mergeCell ref="B15:B17"/>
    <mergeCell ref="C15:C17"/>
    <mergeCell ref="D15:D17"/>
    <mergeCell ref="A37:A51"/>
    <mergeCell ref="E37:E51"/>
    <mergeCell ref="F37:F51"/>
    <mergeCell ref="B37:D51"/>
    <mergeCell ref="E10:E16"/>
    <mergeCell ref="A1:A2"/>
    <mergeCell ref="E1:E2"/>
    <mergeCell ref="F1:F2"/>
    <mergeCell ref="G1:I1"/>
    <mergeCell ref="B1:D1"/>
    <mergeCell ref="A10:A26"/>
    <mergeCell ref="F10:F16"/>
    <mergeCell ref="F17:F21"/>
    <mergeCell ref="E17:E21"/>
    <mergeCell ref="F22:F26"/>
    <mergeCell ref="E22:E26"/>
    <mergeCell ref="D21:D23"/>
    <mergeCell ref="C21:C23"/>
    <mergeCell ref="B21:B23"/>
    <mergeCell ref="D24:D26"/>
    <mergeCell ref="K52:L54"/>
    <mergeCell ref="A52:A54"/>
    <mergeCell ref="B52:D54"/>
    <mergeCell ref="E52:E54"/>
    <mergeCell ref="F52:F5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rightToLeft="1" workbookViewId="0">
      <selection activeCell="A7" sqref="A7:XFD7"/>
    </sheetView>
  </sheetViews>
  <sheetFormatPr defaultRowHeight="14.25" x14ac:dyDescent="0.2"/>
  <cols>
    <col min="1" max="1" width="24" style="38" customWidth="1"/>
    <col min="2" max="2" width="28.75" style="38" customWidth="1"/>
    <col min="3" max="3" width="23.75" style="38" customWidth="1"/>
    <col min="4" max="4" width="19" style="38" customWidth="1"/>
    <col min="5" max="5" width="22.5" style="38" customWidth="1"/>
    <col min="6" max="8" width="9" style="38"/>
    <col min="9" max="9" width="17.875" style="38" customWidth="1"/>
    <col min="10" max="10" width="29.5" style="38" customWidth="1"/>
    <col min="11" max="11" width="18.375" style="38" customWidth="1"/>
    <col min="12" max="12" width="18.5" style="38" customWidth="1"/>
  </cols>
  <sheetData>
    <row r="1" spans="1:13" s="51" customFormat="1" ht="16.5" customHeight="1" x14ac:dyDescent="0.2">
      <c r="A1" s="149" t="s">
        <v>129</v>
      </c>
      <c r="B1" s="149" t="s">
        <v>156</v>
      </c>
      <c r="C1" s="150" t="s">
        <v>157</v>
      </c>
      <c r="D1" s="150" t="s">
        <v>158</v>
      </c>
      <c r="E1" s="150" t="s">
        <v>159</v>
      </c>
      <c r="F1" s="150" t="s">
        <v>160</v>
      </c>
      <c r="G1" s="150" t="s">
        <v>161</v>
      </c>
      <c r="H1" s="150" t="s">
        <v>162</v>
      </c>
      <c r="I1" s="150" t="s">
        <v>173</v>
      </c>
      <c r="J1" s="150" t="s">
        <v>174</v>
      </c>
      <c r="K1" s="150" t="s">
        <v>176</v>
      </c>
      <c r="L1" s="150" t="s">
        <v>177</v>
      </c>
      <c r="M1" s="52"/>
    </row>
    <row r="2" spans="1:13" s="40" customFormat="1" ht="14.25" customHeight="1" x14ac:dyDescent="0.2">
      <c r="A2" s="149"/>
      <c r="B2" s="149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53"/>
    </row>
    <row r="3" spans="1:13" ht="15" customHeight="1" x14ac:dyDescent="0.2">
      <c r="A3" s="54" t="s">
        <v>1</v>
      </c>
      <c r="B3" s="44">
        <v>-6.7999999999999996E-3</v>
      </c>
      <c r="C3" s="25">
        <v>83992949</v>
      </c>
      <c r="D3" s="25">
        <v>-55000</v>
      </c>
      <c r="E3" s="44">
        <f t="shared" ref="E3:E8" si="0">100*(D3/C3)</f>
        <v>-6.5481687040182382E-2</v>
      </c>
      <c r="F3" s="25">
        <v>32</v>
      </c>
      <c r="G3" s="25">
        <v>18</v>
      </c>
      <c r="H3" s="25">
        <v>77.33</v>
      </c>
      <c r="I3" s="25">
        <v>10.96</v>
      </c>
      <c r="J3" s="42" t="s">
        <v>175</v>
      </c>
      <c r="K3" s="38">
        <v>4.6719999999999997</v>
      </c>
      <c r="L3" s="152" t="s">
        <v>178</v>
      </c>
    </row>
    <row r="4" spans="1:13" ht="14.25" customHeight="1" x14ac:dyDescent="0.2">
      <c r="A4" s="56" t="s">
        <v>2</v>
      </c>
      <c r="B4" s="57">
        <v>0.21</v>
      </c>
      <c r="C4" s="25">
        <v>37742154</v>
      </c>
      <c r="D4" s="25">
        <v>242032</v>
      </c>
      <c r="E4" s="44">
        <f t="shared" si="0"/>
        <v>0.64127765468817699</v>
      </c>
      <c r="F4" s="25">
        <v>41.1</v>
      </c>
      <c r="G4" s="25">
        <v>39</v>
      </c>
      <c r="H4" s="25">
        <v>82.96</v>
      </c>
      <c r="I4" s="44">
        <v>9.4799999999999995E-2</v>
      </c>
      <c r="K4" s="38">
        <v>7.2320000000000002</v>
      </c>
      <c r="L4" s="153"/>
    </row>
    <row r="5" spans="1:13" ht="14.25" customHeight="1" x14ac:dyDescent="0.2">
      <c r="A5" s="56" t="s">
        <v>3</v>
      </c>
      <c r="B5" s="57">
        <v>0.185</v>
      </c>
      <c r="C5" s="25">
        <v>5421241</v>
      </c>
      <c r="D5" s="25">
        <v>28000</v>
      </c>
      <c r="E5" s="44">
        <f t="shared" si="0"/>
        <v>0.51648690770249839</v>
      </c>
      <c r="F5" s="25">
        <v>39.799999999999997</v>
      </c>
      <c r="G5" s="25">
        <v>119</v>
      </c>
      <c r="H5" s="25">
        <v>82.94</v>
      </c>
      <c r="I5" s="44">
        <v>4.6199999999999998E-2</v>
      </c>
      <c r="K5" s="38">
        <v>7.4880000000000004</v>
      </c>
      <c r="L5" s="153"/>
    </row>
    <row r="6" spans="1:13" ht="14.25" customHeight="1" x14ac:dyDescent="0.2">
      <c r="A6" s="56" t="s">
        <v>4</v>
      </c>
      <c r="B6" s="57">
        <v>0.09</v>
      </c>
      <c r="C6" s="25">
        <v>67886011</v>
      </c>
      <c r="D6" s="25">
        <v>260650</v>
      </c>
      <c r="E6" s="44">
        <f t="shared" si="0"/>
        <v>0.38395244640313303</v>
      </c>
      <c r="F6" s="25">
        <v>40.5</v>
      </c>
      <c r="G6" s="25">
        <v>21</v>
      </c>
      <c r="H6" s="25">
        <v>81.77</v>
      </c>
      <c r="I6" s="44">
        <v>4.1000000000000002E-2</v>
      </c>
      <c r="K6" s="38">
        <v>7.06</v>
      </c>
      <c r="L6" s="153"/>
    </row>
    <row r="7" spans="1:13" ht="15" x14ac:dyDescent="0.2">
      <c r="A7" s="54" t="s">
        <v>132</v>
      </c>
      <c r="B7" s="55">
        <v>4.5499999999999999E-2</v>
      </c>
      <c r="C7" s="25">
        <v>8654622</v>
      </c>
      <c r="D7" s="25">
        <v>52000</v>
      </c>
      <c r="E7" s="44">
        <f t="shared" si="0"/>
        <v>0.60083502202638084</v>
      </c>
      <c r="F7" s="25">
        <v>43.1</v>
      </c>
      <c r="G7" s="25">
        <v>101</v>
      </c>
      <c r="H7" s="25">
        <v>84.25</v>
      </c>
      <c r="I7" s="44">
        <v>4.9399999999999999E-2</v>
      </c>
      <c r="K7" s="38">
        <v>7.56</v>
      </c>
      <c r="L7" s="153"/>
    </row>
    <row r="8" spans="1:13" ht="15" x14ac:dyDescent="0.2">
      <c r="A8" s="54" t="s">
        <v>186</v>
      </c>
      <c r="B8" s="94">
        <v>10.1</v>
      </c>
      <c r="C8" s="2">
        <v>5792202</v>
      </c>
      <c r="D8" s="2">
        <v>15200</v>
      </c>
      <c r="E8" s="74">
        <f t="shared" si="0"/>
        <v>0.26242178708546421</v>
      </c>
      <c r="F8" s="75">
        <v>42.3</v>
      </c>
      <c r="G8" s="75">
        <v>115</v>
      </c>
      <c r="H8" s="75">
        <v>81.400000000000006</v>
      </c>
      <c r="I8" s="47">
        <v>5.6000000000000001E-2</v>
      </c>
      <c r="J8" s="2"/>
      <c r="K8" s="98">
        <v>7.6459999999999999</v>
      </c>
      <c r="L8" s="154"/>
    </row>
    <row r="9" spans="1:13" x14ac:dyDescent="0.2">
      <c r="E9" s="95"/>
      <c r="G9" s="97"/>
      <c r="H9" s="75"/>
    </row>
    <row r="10" spans="1:13" x14ac:dyDescent="0.2">
      <c r="F10" s="96"/>
      <c r="G10" s="96"/>
      <c r="H10" s="96"/>
    </row>
  </sheetData>
  <mergeCells count="13">
    <mergeCell ref="L3:L8"/>
    <mergeCell ref="F1:F2"/>
    <mergeCell ref="J1:J2"/>
    <mergeCell ref="K1:K2"/>
    <mergeCell ref="L1:L2"/>
    <mergeCell ref="G1:G2"/>
    <mergeCell ref="H1:H2"/>
    <mergeCell ref="I1:I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rightToLeft="1" workbookViewId="0">
      <selection activeCell="D38" sqref="D38"/>
    </sheetView>
  </sheetViews>
  <sheetFormatPr defaultRowHeight="14.25" x14ac:dyDescent="0.2"/>
  <cols>
    <col min="1" max="1" width="30.5" style="38" customWidth="1"/>
    <col min="2" max="2" width="11.375" style="38" customWidth="1"/>
    <col min="3" max="3" width="19.625" style="38" customWidth="1"/>
    <col min="4" max="4" width="16.625" style="38" customWidth="1"/>
    <col min="5" max="5" width="19.875" style="38" customWidth="1"/>
    <col min="6" max="7" width="20.375" style="38" customWidth="1"/>
    <col min="8" max="8" width="24.75" style="38" customWidth="1"/>
    <col min="9" max="9" width="24.875" style="38" customWidth="1"/>
    <col min="10" max="10" width="18.25" style="38" customWidth="1"/>
    <col min="11" max="11" width="19.5" style="38" customWidth="1"/>
    <col min="12" max="12" width="20.5" style="38" customWidth="1"/>
    <col min="13" max="13" width="15" style="38" customWidth="1"/>
    <col min="14" max="14" width="14.5" style="38" customWidth="1"/>
    <col min="15" max="15" width="26.625" style="38" customWidth="1"/>
  </cols>
  <sheetData>
    <row r="1" spans="1:16" s="58" customFormat="1" ht="17.25" customHeight="1" x14ac:dyDescent="0.2">
      <c r="A1" s="158" t="s">
        <v>129</v>
      </c>
      <c r="B1" s="155" t="s">
        <v>164</v>
      </c>
      <c r="C1" s="156"/>
      <c r="D1" s="157"/>
      <c r="E1" s="58" t="s">
        <v>165</v>
      </c>
      <c r="F1" s="58" t="s">
        <v>163</v>
      </c>
      <c r="G1" s="58" t="s">
        <v>195</v>
      </c>
      <c r="H1" s="58" t="s">
        <v>166</v>
      </c>
      <c r="I1" s="58" t="s">
        <v>167</v>
      </c>
      <c r="J1" s="58" t="s">
        <v>168</v>
      </c>
      <c r="K1" s="58" t="s">
        <v>169</v>
      </c>
      <c r="L1" s="58" t="s">
        <v>170</v>
      </c>
      <c r="M1" s="58" t="s">
        <v>171</v>
      </c>
      <c r="N1" s="58" t="s">
        <v>179</v>
      </c>
      <c r="O1" s="58" t="s">
        <v>196</v>
      </c>
      <c r="P1" s="81"/>
    </row>
    <row r="2" spans="1:16" s="59" customFormat="1" ht="18.75" customHeight="1" x14ac:dyDescent="0.2">
      <c r="A2" s="159"/>
      <c r="B2" s="161" t="s">
        <v>193</v>
      </c>
      <c r="C2" s="162"/>
      <c r="D2" s="59" t="s">
        <v>194</v>
      </c>
      <c r="P2" s="82"/>
    </row>
    <row r="3" spans="1:16" s="60" customFormat="1" ht="18" customHeight="1" x14ac:dyDescent="0.2">
      <c r="A3" s="160"/>
      <c r="B3" s="59"/>
      <c r="C3" s="59" t="s">
        <v>172</v>
      </c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1:16" ht="15" x14ac:dyDescent="0.2">
      <c r="A4" s="54" t="s">
        <v>2</v>
      </c>
      <c r="B4" s="164"/>
      <c r="D4" s="164"/>
      <c r="E4" s="164"/>
      <c r="F4" s="164"/>
      <c r="G4" s="163"/>
      <c r="H4" s="163"/>
      <c r="I4" s="163"/>
      <c r="J4" s="163"/>
      <c r="K4" s="163"/>
      <c r="L4" s="163"/>
      <c r="M4" s="163"/>
      <c r="N4" s="163"/>
      <c r="O4" s="163"/>
    </row>
    <row r="5" spans="1:16" ht="15" x14ac:dyDescent="0.2">
      <c r="A5" s="54" t="s">
        <v>3</v>
      </c>
      <c r="D5" s="164"/>
      <c r="F5" s="164"/>
      <c r="G5" s="163"/>
      <c r="H5" s="163"/>
    </row>
    <row r="6" spans="1:16" ht="15" x14ac:dyDescent="0.2">
      <c r="A6" s="54" t="s">
        <v>4</v>
      </c>
      <c r="D6" s="164"/>
      <c r="F6" s="164"/>
    </row>
    <row r="7" spans="1:16" ht="15" x14ac:dyDescent="0.2">
      <c r="A7" s="54" t="s">
        <v>132</v>
      </c>
      <c r="B7" s="163"/>
      <c r="D7" s="164"/>
      <c r="F7" s="164"/>
    </row>
    <row r="8" spans="1:16" ht="15" x14ac:dyDescent="0.2">
      <c r="A8" s="54" t="s">
        <v>186</v>
      </c>
      <c r="D8" s="164"/>
      <c r="F8" s="164"/>
      <c r="G8"/>
    </row>
  </sheetData>
  <mergeCells count="3">
    <mergeCell ref="B1:D1"/>
    <mergeCell ref="A1:A3"/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Temperature</vt:lpstr>
      <vt:lpstr>Living Costs</vt:lpstr>
      <vt:lpstr>Works and Salarys</vt:lpstr>
      <vt:lpstr>Tax</vt:lpstr>
      <vt:lpstr>Society and Population</vt:lpstr>
      <vt:lpstr>Immigrate Ways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آیدین لامعی</dc:creator>
  <cp:lastModifiedBy>آیدین لامعی</cp:lastModifiedBy>
  <dcterms:created xsi:type="dcterms:W3CDTF">2022-01-23T05:42:36Z</dcterms:created>
  <dcterms:modified xsi:type="dcterms:W3CDTF">2022-02-08T09:37:21Z</dcterms:modified>
</cp:coreProperties>
</file>